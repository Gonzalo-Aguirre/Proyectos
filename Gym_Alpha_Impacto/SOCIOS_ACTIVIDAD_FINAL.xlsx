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OneDrive\Desktop\Proyectos\Gym_Alpha_Impacto\"/>
    </mc:Choice>
  </mc:AlternateContent>
  <xr:revisionPtr revIDLastSave="0" documentId="13_ncr:1_{06D09C4E-54EC-4D4E-9C73-7462E762DE98}" xr6:coauthVersionLast="47" xr6:coauthVersionMax="47" xr10:uidLastSave="{00000000-0000-0000-0000-000000000000}"/>
  <bookViews>
    <workbookView xWindow="-23148" yWindow="-108" windowWidth="23256" windowHeight="12456" firstSheet="2" activeTab="5" xr2:uid="{00000000-000D-0000-FFFF-FFFF00000000}"/>
  </bookViews>
  <sheets>
    <sheet name="PORTADA" sheetId="14" r:id="rId1"/>
    <sheet name="1 – ACTIVIDADES" sheetId="7" r:id="rId2"/>
    <sheet name="2 – PROFESORES" sheetId="8" r:id="rId3"/>
    <sheet name="3 – ASISTENCIA" sheetId="5" r:id="rId4"/>
    <sheet name="4 – TABLAS" sheetId="9" r:id="rId5"/>
    <sheet name="5 – GRAFICOS" sheetId="10" r:id="rId6"/>
    <sheet name="MAPEO" sheetId="6" state="hidden" r:id="rId7"/>
  </sheets>
  <definedNames>
    <definedName name="_xlnm._FilterDatabase" localSheetId="3" hidden="1">'3 – ASISTENCIA'!$A$1:$I$443</definedName>
    <definedName name="_xlnm._FilterDatabase" localSheetId="6" hidden="1">MAPEO!$A$1:$C$27</definedName>
    <definedName name="_xlchart.v1.0" hidden="1">'5 – GRAFICOS'!$B$128:$B$145</definedName>
    <definedName name="_xlchart.v1.1" hidden="1">'5 – GRAFICOS'!$C$128:$C$145</definedName>
    <definedName name="_xlchart.v1.2" hidden="1">'5 – GRAFICOS'!$K$129:$K$137</definedName>
    <definedName name="_xlchart.v1.3" hidden="1">'5 – GRAFICOS'!$L$129:$L$137</definedName>
    <definedName name="_xlchart.v1.4" hidden="1">'5 – GRAFICOS'!$K$129:$K$137</definedName>
    <definedName name="_xlchart.v1.5" hidden="1">'5 – GRAFICOS'!$L$129:$L$137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22" i="5"/>
  <c r="G23" i="5"/>
  <c r="G219" i="5"/>
  <c r="G220" i="5"/>
  <c r="G221" i="5"/>
  <c r="G222" i="5"/>
  <c r="G223" i="5"/>
  <c r="G224" i="5"/>
  <c r="G225" i="5"/>
  <c r="G239" i="5"/>
  <c r="G240" i="5"/>
  <c r="G111" i="5"/>
  <c r="G112" i="5"/>
  <c r="G113" i="5"/>
  <c r="G114" i="5"/>
  <c r="G115" i="5"/>
  <c r="G116" i="5"/>
  <c r="G117" i="5"/>
  <c r="G131" i="5"/>
  <c r="G132" i="5"/>
  <c r="G332" i="5"/>
  <c r="G333" i="5"/>
  <c r="G334" i="5"/>
  <c r="G335" i="5"/>
  <c r="G336" i="5"/>
  <c r="G337" i="5"/>
  <c r="G338" i="5"/>
  <c r="G352" i="5"/>
  <c r="G353" i="5"/>
  <c r="G24" i="5"/>
  <c r="G25" i="5"/>
  <c r="G26" i="5"/>
  <c r="G27" i="5"/>
  <c r="G28" i="5"/>
  <c r="G29" i="5"/>
  <c r="G30" i="5"/>
  <c r="G44" i="5"/>
  <c r="G45" i="5"/>
  <c r="G241" i="5"/>
  <c r="G242" i="5"/>
  <c r="G243" i="5"/>
  <c r="G244" i="5"/>
  <c r="G245" i="5"/>
  <c r="G246" i="5"/>
  <c r="G247" i="5"/>
  <c r="G260" i="5"/>
  <c r="G261" i="5"/>
  <c r="G133" i="5"/>
  <c r="G134" i="5"/>
  <c r="G135" i="5"/>
  <c r="G136" i="5"/>
  <c r="G137" i="5"/>
  <c r="G138" i="5"/>
  <c r="G139" i="5"/>
  <c r="G152" i="5"/>
  <c r="G153" i="5"/>
  <c r="G354" i="5"/>
  <c r="G355" i="5"/>
  <c r="G356" i="5"/>
  <c r="G357" i="5"/>
  <c r="G358" i="5"/>
  <c r="G359" i="5"/>
  <c r="G360" i="5"/>
  <c r="G373" i="5"/>
  <c r="G374" i="5"/>
  <c r="G46" i="5"/>
  <c r="G47" i="5"/>
  <c r="G48" i="5"/>
  <c r="G49" i="5"/>
  <c r="G50" i="5"/>
  <c r="G51" i="5"/>
  <c r="G52" i="5"/>
  <c r="G66" i="5"/>
  <c r="G67" i="5"/>
  <c r="G263" i="5"/>
  <c r="G264" i="5"/>
  <c r="G265" i="5"/>
  <c r="G266" i="5"/>
  <c r="G267" i="5"/>
  <c r="G268" i="5"/>
  <c r="G269" i="5"/>
  <c r="G283" i="5"/>
  <c r="G284" i="5"/>
  <c r="G154" i="5"/>
  <c r="G155" i="5"/>
  <c r="G156" i="5"/>
  <c r="G157" i="5"/>
  <c r="G158" i="5"/>
  <c r="G159" i="5"/>
  <c r="G160" i="5"/>
  <c r="G174" i="5"/>
  <c r="G175" i="5"/>
  <c r="G375" i="5"/>
  <c r="G376" i="5"/>
  <c r="G377" i="5"/>
  <c r="G378" i="5"/>
  <c r="G379" i="5"/>
  <c r="G380" i="5"/>
  <c r="G381" i="5"/>
  <c r="G395" i="5"/>
  <c r="G396" i="5"/>
  <c r="G69" i="5"/>
  <c r="G70" i="5"/>
  <c r="G71" i="5"/>
  <c r="G72" i="5"/>
  <c r="G73" i="5"/>
  <c r="G74" i="5"/>
  <c r="G75" i="5"/>
  <c r="G286" i="5"/>
  <c r="G287" i="5"/>
  <c r="G288" i="5"/>
  <c r="G289" i="5"/>
  <c r="G290" i="5"/>
  <c r="G291" i="5"/>
  <c r="G292" i="5"/>
  <c r="G306" i="5"/>
  <c r="G307" i="5"/>
  <c r="G177" i="5"/>
  <c r="G178" i="5"/>
  <c r="G179" i="5"/>
  <c r="G180" i="5"/>
  <c r="G181" i="5"/>
  <c r="G182" i="5"/>
  <c r="G183" i="5"/>
  <c r="G398" i="5"/>
  <c r="G399" i="5"/>
  <c r="G400" i="5"/>
  <c r="G401" i="5"/>
  <c r="G402" i="5"/>
  <c r="G403" i="5"/>
  <c r="G404" i="5"/>
  <c r="G418" i="5"/>
  <c r="G419" i="5"/>
  <c r="G88" i="5"/>
  <c r="G89" i="5"/>
  <c r="G90" i="5"/>
  <c r="G91" i="5"/>
  <c r="G92" i="5"/>
  <c r="G93" i="5"/>
  <c r="G94" i="5"/>
  <c r="G108" i="5"/>
  <c r="G109" i="5"/>
  <c r="G309" i="5"/>
  <c r="G310" i="5"/>
  <c r="G311" i="5"/>
  <c r="G312" i="5"/>
  <c r="G313" i="5"/>
  <c r="G314" i="5"/>
  <c r="G315" i="5"/>
  <c r="G329" i="5"/>
  <c r="G330" i="5"/>
  <c r="G196" i="5"/>
  <c r="G197" i="5"/>
  <c r="G198" i="5"/>
  <c r="G199" i="5"/>
  <c r="G200" i="5"/>
  <c r="G201" i="5"/>
  <c r="G202" i="5"/>
  <c r="G216" i="5"/>
  <c r="G217" i="5"/>
  <c r="G421" i="5"/>
  <c r="G422" i="5"/>
  <c r="G423" i="5"/>
  <c r="G424" i="5"/>
  <c r="G425" i="5"/>
  <c r="G426" i="5"/>
  <c r="G427" i="5"/>
  <c r="G441" i="5"/>
  <c r="G44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2" i="5"/>
  <c r="G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D2" i="5"/>
  <c r="C2" i="5"/>
  <c r="A89" i="5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310" i="5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197" i="5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422" i="5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70" i="5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287" i="5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178" i="5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399" i="5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7" i="5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264" i="5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155" i="5"/>
  <c r="A156" i="5" s="1"/>
  <c r="A157" i="5" s="1"/>
  <c r="A158" i="5" s="1"/>
  <c r="A159" i="5" s="1"/>
  <c r="A160" i="5" s="1"/>
  <c r="A161" i="5" s="1"/>
  <c r="A162" i="5" s="1"/>
  <c r="A164" i="5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376" i="5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C16" i="7" l="1"/>
  <c r="C14" i="7"/>
  <c r="C19" i="7"/>
  <c r="C7" i="7"/>
  <c r="C18" i="7"/>
  <c r="C4" i="7"/>
  <c r="C11" i="7"/>
  <c r="C13" i="7"/>
  <c r="C8" i="7"/>
  <c r="C17" i="7"/>
  <c r="C12" i="7"/>
  <c r="C10" i="7"/>
  <c r="C6" i="7"/>
  <c r="C9" i="7"/>
  <c r="C15" i="7"/>
  <c r="C3" i="7"/>
  <c r="C20" i="7"/>
  <c r="C5" i="7"/>
</calcChain>
</file>

<file path=xl/sharedStrings.xml><?xml version="1.0" encoding="utf-8"?>
<sst xmlns="http://schemas.openxmlformats.org/spreadsheetml/2006/main" count="1026" uniqueCount="99">
  <si>
    <t>ACTIVIDAD</t>
  </si>
  <si>
    <t xml:space="preserve">CANTIDAD DE ALUMNOS </t>
  </si>
  <si>
    <t>OBSERVACIONES</t>
  </si>
  <si>
    <t>Calistenia Edd</t>
  </si>
  <si>
    <t>Calistenia Martin</t>
  </si>
  <si>
    <t>Calistenia / CALI KIDS  Agus</t>
  </si>
  <si>
    <t>Calistenia Agus</t>
  </si>
  <si>
    <t>Calistenia Lazaro</t>
  </si>
  <si>
    <t>Boxeo y Kickboxing Mariano</t>
  </si>
  <si>
    <t>Boxeo tito</t>
  </si>
  <si>
    <t xml:space="preserve">MMA </t>
  </si>
  <si>
    <t>Karate</t>
  </si>
  <si>
    <t>Tela</t>
  </si>
  <si>
    <t>Lyra</t>
  </si>
  <si>
    <t>Yoga y Yoga Columpio</t>
  </si>
  <si>
    <t>Pole Sport</t>
  </si>
  <si>
    <t>Acro Kids</t>
  </si>
  <si>
    <t>Calistenia Kids</t>
  </si>
  <si>
    <t>Movimiento Consciente</t>
  </si>
  <si>
    <t>Cross Traning</t>
  </si>
  <si>
    <t>Funcional</t>
  </si>
  <si>
    <t>EFA</t>
  </si>
  <si>
    <t>Taekwondo</t>
  </si>
  <si>
    <t>Personalizados Marco</t>
  </si>
  <si>
    <t>Personalizados Lean</t>
  </si>
  <si>
    <t>Nutricion</t>
  </si>
  <si>
    <t>pase flex nestor y mariano ESTE ULTIMO(1)</t>
  </si>
  <si>
    <t>1 semestral  y 2 trimestral</t>
  </si>
  <si>
    <t>5 VIEJOS 5 NUEVOS</t>
  </si>
  <si>
    <t>JIU JITSU</t>
  </si>
  <si>
    <t>MMA+BOXEO</t>
  </si>
  <si>
    <t>ULTIMO MES</t>
  </si>
  <si>
    <t xml:space="preserve">PASE TRIMESTRAL </t>
  </si>
  <si>
    <t>PASE MENSUAL</t>
  </si>
  <si>
    <t>SEMANA</t>
  </si>
  <si>
    <t>FECHA</t>
  </si>
  <si>
    <t>MES NUMERO</t>
  </si>
  <si>
    <t>MES NOMBRE</t>
  </si>
  <si>
    <t>N°</t>
  </si>
  <si>
    <t>ACTIVIDADES</t>
  </si>
  <si>
    <t>Calistenia</t>
  </si>
  <si>
    <t>Boxeo</t>
  </si>
  <si>
    <t>Personalizados</t>
  </si>
  <si>
    <t>MAPEO</t>
  </si>
  <si>
    <t>Calistenia Paula</t>
  </si>
  <si>
    <t>PROFESOR</t>
  </si>
  <si>
    <t>Edd</t>
  </si>
  <si>
    <t>Martin</t>
  </si>
  <si>
    <t>Agus</t>
  </si>
  <si>
    <t>Lazaro</t>
  </si>
  <si>
    <t>Paula</t>
  </si>
  <si>
    <t>tito</t>
  </si>
  <si>
    <t>Marco</t>
  </si>
  <si>
    <t>Lean</t>
  </si>
  <si>
    <t>Mariano</t>
  </si>
  <si>
    <t>ACTIVIDAD GLOBAL</t>
  </si>
  <si>
    <t>–</t>
  </si>
  <si>
    <t>Total general</t>
  </si>
  <si>
    <t xml:space="preserve">Suma de CANTIDAD DE ALUMNOS </t>
  </si>
  <si>
    <t xml:space="preserve">CONTEO DE ALUMNOS </t>
  </si>
  <si>
    <t>ALUMNOS POR ACTIVIDAD</t>
  </si>
  <si>
    <t>ALUMNOS POR PROFESOR</t>
  </si>
  <si>
    <t>ALUMNOS POR MES</t>
  </si>
  <si>
    <t>FEBRERO</t>
  </si>
  <si>
    <t>MARZO</t>
  </si>
  <si>
    <t>ABRIL</t>
  </si>
  <si>
    <t>MAYO</t>
  </si>
  <si>
    <t>JUNIO</t>
  </si>
  <si>
    <t>ALUMNOS POR ACTIVIDAD Y PROFESOR</t>
  </si>
  <si>
    <t>Total FEBRERO</t>
  </si>
  <si>
    <t>Total MARZO</t>
  </si>
  <si>
    <t>Total ABRIL</t>
  </si>
  <si>
    <t>Total MAYO</t>
  </si>
  <si>
    <t>Total JUNIO</t>
  </si>
  <si>
    <t>ALUMNOS POR MES Y SEMANA N°</t>
  </si>
  <si>
    <t>CANTIDAD DE ALUMNOS POR ACTIVIDAD, MES, SEMANA N°</t>
  </si>
  <si>
    <t>REPORTE  DE ACTIVIDADES ASISTENCIA Y PROFESORES</t>
  </si>
  <si>
    <t>1 – ACTIVIDADES</t>
  </si>
  <si>
    <t>2 – PROFESORES</t>
  </si>
  <si>
    <t>3 – ASISTENCIA</t>
  </si>
  <si>
    <t>4 – TABLAS</t>
  </si>
  <si>
    <t>5 – GRAFICOS</t>
  </si>
  <si>
    <t>HOJAS</t>
  </si>
  <si>
    <t>DESCRIPCION</t>
  </si>
  <si>
    <t>Listado de profesores dictando actividades</t>
  </si>
  <si>
    <t>Listado de concurrencia a las actividades</t>
  </si>
  <si>
    <t>Tablas informativas con datos maximos y minimos</t>
  </si>
  <si>
    <t>Graficos ilistrativos de las tablas</t>
  </si>
  <si>
    <t>Listado de actividades unicas</t>
  </si>
  <si>
    <t>Profesional: Gonzalo Aguirre  ––  ▶Tel: 3513271784  ▶ V1</t>
  </si>
  <si>
    <t>Tito</t>
  </si>
  <si>
    <t>HORARIO</t>
  </si>
  <si>
    <t>CONTACTO</t>
  </si>
  <si>
    <t>DIAS</t>
  </si>
  <si>
    <t>HORARIOS</t>
  </si>
  <si>
    <t>CUPOS</t>
  </si>
  <si>
    <t>ACTIVA/ INACTIVA</t>
  </si>
  <si>
    <t>DESDE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</si>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</sst>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222222"/>
      <name val="&quot;Google Sans&quot;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A64D79"/>
        <bgColor rgb="FFA64D7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2" tint="-0.14999847407452621"/>
      </bottom>
      <diagonal/>
    </border>
    <border>
      <left/>
      <right/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double">
        <color theme="3"/>
      </left>
      <right/>
      <top style="thin">
        <color theme="2" tint="-0.14999847407452621"/>
      </top>
      <bottom/>
      <diagonal/>
    </border>
    <border>
      <left/>
      <right style="double">
        <color theme="3"/>
      </right>
      <top style="thin">
        <color theme="2" tint="-0.14999847407452621"/>
      </top>
      <bottom style="thin">
        <color theme="2" tint="-0.14999847407452621"/>
      </bottom>
      <diagonal/>
    </border>
    <border>
      <left style="double">
        <color theme="3"/>
      </left>
      <right/>
      <top/>
      <bottom/>
      <diagonal/>
    </border>
    <border>
      <left/>
      <right style="double">
        <color theme="3"/>
      </right>
      <top/>
      <bottom/>
      <diagonal/>
    </border>
    <border>
      <left style="double">
        <color theme="3"/>
      </left>
      <right/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/>
      <right style="double">
        <color theme="3"/>
      </right>
      <top/>
      <bottom style="double">
        <color theme="3"/>
      </bottom>
      <diagonal/>
    </border>
    <border>
      <left style="double">
        <color theme="3"/>
      </left>
      <right/>
      <top style="double">
        <color theme="3"/>
      </top>
      <bottom style="double">
        <color theme="3"/>
      </bottom>
      <diagonal/>
    </border>
    <border>
      <left/>
      <right/>
      <top style="double">
        <color theme="3"/>
      </top>
      <bottom style="double">
        <color theme="3"/>
      </bottom>
      <diagonal/>
    </border>
    <border>
      <left/>
      <right style="double">
        <color theme="3"/>
      </right>
      <top style="double">
        <color theme="3"/>
      </top>
      <bottom style="double">
        <color theme="3"/>
      </bottom>
      <diagonal/>
    </border>
  </borders>
  <cellStyleXfs count="2">
    <xf numFmtId="0" fontId="0" fillId="0" borderId="0"/>
    <xf numFmtId="0" fontId="6" fillId="17" borderId="2" applyNumberFormat="0" applyFont="0" applyAlignment="0" applyProtection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2" fillId="11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pivotButton="1"/>
    <xf numFmtId="0" fontId="0" fillId="19" borderId="6" xfId="0" applyFill="1" applyBorder="1"/>
    <xf numFmtId="0" fontId="7" fillId="16" borderId="0" xfId="0" applyFont="1" applyFill="1"/>
    <xf numFmtId="0" fontId="1" fillId="18" borderId="0" xfId="0" applyFont="1" applyFill="1"/>
    <xf numFmtId="0" fontId="0" fillId="20" borderId="0" xfId="0" applyFill="1"/>
    <xf numFmtId="0" fontId="6" fillId="17" borderId="2" xfId="1" applyFont="1" applyAlignment="1"/>
    <xf numFmtId="0" fontId="0" fillId="17" borderId="2" xfId="1" applyFont="1" applyAlignment="1"/>
    <xf numFmtId="0" fontId="0" fillId="17" borderId="2" xfId="1" applyFont="1" applyAlignment="1">
      <alignment horizontal="left"/>
    </xf>
    <xf numFmtId="0" fontId="7" fillId="16" borderId="9" xfId="0" applyFont="1" applyFill="1" applyBorder="1"/>
    <xf numFmtId="0" fontId="0" fillId="0" borderId="10" xfId="0" applyBorder="1"/>
    <xf numFmtId="0" fontId="0" fillId="0" borderId="11" xfId="0" applyBorder="1"/>
    <xf numFmtId="0" fontId="7" fillId="16" borderId="3" xfId="0" applyFont="1" applyFill="1" applyBorder="1"/>
    <xf numFmtId="0" fontId="0" fillId="0" borderId="4" xfId="0" applyBorder="1"/>
    <xf numFmtId="0" fontId="0" fillId="0" borderId="5" xfId="0" applyBorder="1"/>
    <xf numFmtId="0" fontId="8" fillId="0" borderId="12" xfId="0" applyFont="1" applyBorder="1"/>
    <xf numFmtId="0" fontId="0" fillId="0" borderId="13" xfId="0" applyBorder="1"/>
    <xf numFmtId="0" fontId="0" fillId="0" borderId="14" xfId="0" applyBorder="1"/>
    <xf numFmtId="0" fontId="6" fillId="24" borderId="17" xfId="0" applyFont="1" applyFill="1" applyBorder="1"/>
    <xf numFmtId="0" fontId="6" fillId="25" borderId="17" xfId="0" applyFont="1" applyFill="1" applyBorder="1"/>
    <xf numFmtId="0" fontId="6" fillId="23" borderId="17" xfId="0" applyFont="1" applyFill="1" applyBorder="1"/>
    <xf numFmtId="0" fontId="6" fillId="23" borderId="19" xfId="0" applyFont="1" applyFill="1" applyBorder="1"/>
    <xf numFmtId="0" fontId="0" fillId="26" borderId="0" xfId="0" applyFill="1"/>
    <xf numFmtId="0" fontId="0" fillId="27" borderId="0" xfId="0" applyFill="1"/>
    <xf numFmtId="0" fontId="9" fillId="22" borderId="15" xfId="0" applyFont="1" applyFill="1" applyBorder="1" applyAlignment="1">
      <alignment horizontal="center"/>
    </xf>
    <xf numFmtId="0" fontId="0" fillId="19" borderId="0" xfId="0" applyFill="1"/>
    <xf numFmtId="0" fontId="6" fillId="23" borderId="20" xfId="0" applyFont="1" applyFill="1" applyBorder="1" applyAlignment="1">
      <alignment horizontal="center"/>
    </xf>
    <xf numFmtId="0" fontId="6" fillId="23" borderId="21" xfId="0" applyFont="1" applyFill="1" applyBorder="1" applyAlignment="1">
      <alignment horizontal="center"/>
    </xf>
    <xf numFmtId="0" fontId="10" fillId="28" borderId="0" xfId="0" applyFont="1" applyFill="1" applyAlignment="1">
      <alignment horizontal="center"/>
    </xf>
    <xf numFmtId="0" fontId="4" fillId="21" borderId="22" xfId="0" applyFont="1" applyFill="1" applyBorder="1" applyAlignment="1">
      <alignment horizontal="center"/>
    </xf>
    <xf numFmtId="0" fontId="4" fillId="21" borderId="23" xfId="0" applyFont="1" applyFill="1" applyBorder="1" applyAlignment="1">
      <alignment horizontal="center"/>
    </xf>
    <xf numFmtId="0" fontId="4" fillId="21" borderId="24" xfId="0" applyFont="1" applyFill="1" applyBorder="1" applyAlignment="1">
      <alignment horizontal="center"/>
    </xf>
    <xf numFmtId="0" fontId="9" fillId="22" borderId="7" xfId="0" applyFont="1" applyFill="1" applyBorder="1" applyAlignment="1">
      <alignment horizontal="center"/>
    </xf>
    <xf numFmtId="0" fontId="9" fillId="22" borderId="8" xfId="0" applyFont="1" applyFill="1" applyBorder="1" applyAlignment="1">
      <alignment horizontal="center"/>
    </xf>
    <xf numFmtId="0" fontId="9" fillId="22" borderId="16" xfId="0" applyFont="1" applyFill="1" applyBorder="1" applyAlignment="1">
      <alignment horizontal="center"/>
    </xf>
    <xf numFmtId="0" fontId="6" fillId="24" borderId="0" xfId="0" applyFont="1" applyFill="1" applyAlignment="1">
      <alignment horizontal="center"/>
    </xf>
    <xf numFmtId="0" fontId="6" fillId="24" borderId="18" xfId="0" applyFont="1" applyFill="1" applyBorder="1" applyAlignment="1">
      <alignment horizontal="center"/>
    </xf>
    <xf numFmtId="0" fontId="6" fillId="25" borderId="0" xfId="0" applyFont="1" applyFill="1" applyAlignment="1">
      <alignment horizontal="center"/>
    </xf>
    <xf numFmtId="0" fontId="6" fillId="25" borderId="18" xfId="0" applyFont="1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0" fontId="6" fillId="23" borderId="18" xfId="0" applyFont="1" applyFill="1" applyBorder="1" applyAlignment="1">
      <alignment horizontal="center"/>
    </xf>
  </cellXfs>
  <cellStyles count="2">
    <cellStyle name="Normal" xfId="0" builtinId="0"/>
    <cellStyle name="Notas" xfId="1" builtinId="10"/>
  </cellStyles>
  <dxfs count="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>
        <left style="thin">
          <color theme="7"/>
        </left>
        <right style="thin">
          <color theme="7"/>
        </right>
        <top style="thin">
          <color theme="7"/>
        </top>
      </border>
    </dxf>
    <dxf>
      <border>
        <left style="thin">
          <color theme="7"/>
        </left>
        <right style="thin">
          <color theme="7"/>
        </right>
        <top style="thin">
          <color theme="7"/>
        </top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rial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</dxf>
    <dxf>
      <border>
        <left style="thin">
          <color theme="2" tint="-0.14999847407452621"/>
        </left>
        <right style="thin">
          <color theme="2" tint="-0.14999847407452621"/>
        </right>
        <top style="thin">
          <color theme="2" tint="-0.14999847407452621"/>
        </top>
        <bottom style="thin">
          <color theme="2" tint="-0.14999847407452621"/>
        </bottom>
        <vertical style="thin">
          <color theme="2" tint="-0.14999847407452621"/>
        </vertical>
        <horizontal style="thin">
          <color theme="2" tint="-0.14999847407452621"/>
        </horizontal>
      </border>
    </dxf>
    <dxf>
      <fill>
        <patternFill patternType="solid"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385531546615226E-2"/>
          <c:y val="6.2664735354878542E-2"/>
          <c:w val="0.90701559839688761"/>
          <c:h val="0.69554911784959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 – TABLAS'!$B$2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TABLAS'!$A$3:$A$21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TABLAS'!$B$3:$B$21</c:f>
              <c:numCache>
                <c:formatCode>General</c:formatCode>
                <c:ptCount val="18"/>
                <c:pt idx="0">
                  <c:v>72</c:v>
                </c:pt>
                <c:pt idx="1">
                  <c:v>520</c:v>
                </c:pt>
                <c:pt idx="2">
                  <c:v>1058</c:v>
                </c:pt>
                <c:pt idx="3">
                  <c:v>33</c:v>
                </c:pt>
                <c:pt idx="4">
                  <c:v>101</c:v>
                </c:pt>
                <c:pt idx="5">
                  <c:v>915</c:v>
                </c:pt>
                <c:pt idx="6">
                  <c:v>24</c:v>
                </c:pt>
                <c:pt idx="7">
                  <c:v>17</c:v>
                </c:pt>
                <c:pt idx="8">
                  <c:v>89</c:v>
                </c:pt>
                <c:pt idx="9">
                  <c:v>37</c:v>
                </c:pt>
                <c:pt idx="10">
                  <c:v>25</c:v>
                </c:pt>
                <c:pt idx="11">
                  <c:v>36</c:v>
                </c:pt>
                <c:pt idx="13">
                  <c:v>206</c:v>
                </c:pt>
                <c:pt idx="14">
                  <c:v>216</c:v>
                </c:pt>
                <c:pt idx="15">
                  <c:v>7</c:v>
                </c:pt>
                <c:pt idx="16">
                  <c:v>54</c:v>
                </c:pt>
                <c:pt idx="1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9-4DAA-AA6A-921CEB5BE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329615136"/>
        <c:axId val="329616096"/>
      </c:barChart>
      <c:catAx>
        <c:axId val="3296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9616096"/>
        <c:crosses val="autoZero"/>
        <c:auto val="1"/>
        <c:lblAlgn val="ctr"/>
        <c:lblOffset val="100"/>
        <c:noMultiLvlLbl val="0"/>
      </c:catAx>
      <c:valAx>
        <c:axId val="3296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961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2">
          <a:alpha val="40000"/>
        </a:schemeClr>
      </a:glow>
      <a:innerShdw blurRad="114300">
        <a:prstClr val="black"/>
      </a:innerShdw>
      <a:softEdge rad="38100"/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TABLAS!TablaDinámica2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– TABLAS'!$B$25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TABLAS'!$A$26:$A$35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TABLAS'!$B$26:$B$35</c:f>
              <c:numCache>
                <c:formatCode>General</c:formatCode>
                <c:ptCount val="9"/>
                <c:pt idx="0">
                  <c:v>186</c:v>
                </c:pt>
                <c:pt idx="1">
                  <c:v>295</c:v>
                </c:pt>
                <c:pt idx="2">
                  <c:v>150</c:v>
                </c:pt>
                <c:pt idx="3">
                  <c:v>15</c:v>
                </c:pt>
                <c:pt idx="4">
                  <c:v>191</c:v>
                </c:pt>
                <c:pt idx="5">
                  <c:v>313</c:v>
                </c:pt>
                <c:pt idx="6">
                  <c:v>332</c:v>
                </c:pt>
                <c:pt idx="7">
                  <c:v>64</c:v>
                </c:pt>
                <c:pt idx="8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87F-8580-601AA60D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27748208"/>
        <c:axId val="227749648"/>
      </c:barChart>
      <c:catAx>
        <c:axId val="2277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7749648"/>
        <c:crosses val="autoZero"/>
        <c:auto val="1"/>
        <c:lblAlgn val="ctr"/>
        <c:lblOffset val="100"/>
        <c:noMultiLvlLbl val="0"/>
      </c:catAx>
      <c:valAx>
        <c:axId val="2277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774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schemeClr val="tx1"/>
      </a:innerShdw>
      <a:softEdge rad="38100"/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955510783084229"/>
          <c:y val="8.7703514867430069E-2"/>
          <c:w val="0.77759350393700799"/>
          <c:h val="0.8011854768153980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'4 – TABLAS'!$B$74:$B$75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TABLAS'!$B$76:$B$80</c:f>
              <c:numCache>
                <c:formatCode>General</c:formatCode>
                <c:ptCount val="4"/>
                <c:pt idx="1">
                  <c:v>141</c:v>
                </c:pt>
                <c:pt idx="2">
                  <c:v>346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4-4501-A47F-2B87DC15EF53}"/>
            </c:ext>
          </c:extLst>
        </c:ser>
        <c:ser>
          <c:idx val="1"/>
          <c:order val="1"/>
          <c:tx>
            <c:strRef>
              <c:f>'4 – TABLAS'!$C$74:$C$75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TABLAS'!$C$76:$C$80</c:f>
              <c:numCache>
                <c:formatCode>General</c:formatCode>
                <c:ptCount val="4"/>
                <c:pt idx="1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4-4501-A47F-2B87DC15EF53}"/>
            </c:ext>
          </c:extLst>
        </c:ser>
        <c:ser>
          <c:idx val="2"/>
          <c:order val="2"/>
          <c:tx>
            <c:strRef>
              <c:f>'4 – TABLAS'!$D$74:$D$75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TABLAS'!$D$76:$D$80</c:f>
              <c:numCache>
                <c:formatCode>General</c:formatCode>
                <c:ptCount val="4"/>
                <c:pt idx="0">
                  <c:v>345</c:v>
                </c:pt>
                <c:pt idx="1">
                  <c:v>424</c:v>
                </c:pt>
                <c:pt idx="2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4-4501-A47F-2B87DC15EF53}"/>
            </c:ext>
          </c:extLst>
        </c:ser>
        <c:ser>
          <c:idx val="3"/>
          <c:order val="3"/>
          <c:tx>
            <c:strRef>
              <c:f>'4 – TABLAS'!$E$74:$E$75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TABLAS'!$E$76:$E$80</c:f>
              <c:numCache>
                <c:formatCode>General</c:formatCode>
                <c:ptCount val="4"/>
                <c:pt idx="0">
                  <c:v>368</c:v>
                </c:pt>
                <c:pt idx="1">
                  <c:v>383</c:v>
                </c:pt>
                <c:pt idx="2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4-4501-A47F-2B87DC15EF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27742448"/>
        <c:axId val="227744368"/>
      </c:barChart>
      <c:catAx>
        <c:axId val="22774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7744368"/>
        <c:crosses val="autoZero"/>
        <c:auto val="1"/>
        <c:lblAlgn val="ctr"/>
        <c:lblOffset val="100"/>
        <c:noMultiLvlLbl val="0"/>
      </c:catAx>
      <c:valAx>
        <c:axId val="2277443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277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099960938303076"/>
          <c:y val="0.87070797612439432"/>
          <c:w val="0.264105096523509"/>
          <c:h val="0.10610637116835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  <a:softEdge rad="38100"/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 – TABLAS'!$B$40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'4 – TABLAS'!$A$41:$A$46</c:f>
              <c:strCache>
                <c:ptCount val="5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</c:strCache>
            </c:strRef>
          </c:cat>
          <c:val>
            <c:numRef>
              <c:f>'4 – TABLAS'!$B$41:$B$46</c:f>
              <c:numCache>
                <c:formatCode>General</c:formatCode>
                <c:ptCount val="5"/>
                <c:pt idx="0">
                  <c:v>713</c:v>
                </c:pt>
                <c:pt idx="1">
                  <c:v>1358</c:v>
                </c:pt>
                <c:pt idx="2">
                  <c:v>1073</c:v>
                </c:pt>
                <c:pt idx="3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5-4B77-AD0F-03C56990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406704"/>
        <c:axId val="464396144"/>
      </c:lineChart>
      <c:catAx>
        <c:axId val="4644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396144"/>
        <c:crosses val="autoZero"/>
        <c:auto val="1"/>
        <c:lblAlgn val="ctr"/>
        <c:lblOffset val="100"/>
        <c:noMultiLvlLbl val="0"/>
      </c:catAx>
      <c:valAx>
        <c:axId val="4643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0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  <a:softEdge rad="38100"/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847459593866557"/>
          <c:y val="0.1079983423124741"/>
          <c:w val="0.58466224616659757"/>
          <c:h val="0.814878850669982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'4 – TABLAS'!$B$50:$B$51</c:f>
              <c:strCache>
                <c:ptCount val="1"/>
                <c:pt idx="0">
                  <c:v>–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TABLAS'!$B$52:$B$70</c:f>
              <c:numCache>
                <c:formatCode>General</c:formatCode>
                <c:ptCount val="18"/>
                <c:pt idx="0">
                  <c:v>72</c:v>
                </c:pt>
                <c:pt idx="2">
                  <c:v>31</c:v>
                </c:pt>
                <c:pt idx="3">
                  <c:v>33</c:v>
                </c:pt>
                <c:pt idx="4">
                  <c:v>101</c:v>
                </c:pt>
                <c:pt idx="5">
                  <c:v>915</c:v>
                </c:pt>
                <c:pt idx="6">
                  <c:v>24</c:v>
                </c:pt>
                <c:pt idx="7">
                  <c:v>17</c:v>
                </c:pt>
                <c:pt idx="8">
                  <c:v>89</c:v>
                </c:pt>
                <c:pt idx="9">
                  <c:v>37</c:v>
                </c:pt>
                <c:pt idx="10">
                  <c:v>25</c:v>
                </c:pt>
                <c:pt idx="11">
                  <c:v>36</c:v>
                </c:pt>
                <c:pt idx="14">
                  <c:v>216</c:v>
                </c:pt>
                <c:pt idx="15">
                  <c:v>7</c:v>
                </c:pt>
                <c:pt idx="16">
                  <c:v>54</c:v>
                </c:pt>
                <c:pt idx="1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4-4399-B112-D5F00ACA86CB}"/>
            </c:ext>
          </c:extLst>
        </c:ser>
        <c:ser>
          <c:idx val="1"/>
          <c:order val="1"/>
          <c:tx>
            <c:strRef>
              <c:f>'4 – TABLAS'!$C$50:$C$51</c:f>
              <c:strCache>
                <c:ptCount val="1"/>
                <c:pt idx="0">
                  <c:v>Agus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TABLAS'!$C$52:$C$70</c:f>
              <c:numCache>
                <c:formatCode>General</c:formatCode>
                <c:ptCount val="18"/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4-4399-B112-D5F00ACA86CB}"/>
            </c:ext>
          </c:extLst>
        </c:ser>
        <c:ser>
          <c:idx val="2"/>
          <c:order val="2"/>
          <c:tx>
            <c:strRef>
              <c:f>'4 – TABLAS'!$D$50:$D$51</c:f>
              <c:strCache>
                <c:ptCount val="1"/>
                <c:pt idx="0">
                  <c:v>Edd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TABLAS'!$D$52:$D$70</c:f>
              <c:numCache>
                <c:formatCode>General</c:formatCode>
                <c:ptCount val="18"/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84-4399-B112-D5F00ACA86CB}"/>
            </c:ext>
          </c:extLst>
        </c:ser>
        <c:ser>
          <c:idx val="3"/>
          <c:order val="3"/>
          <c:tx>
            <c:strRef>
              <c:f>'4 – TABLAS'!$E$50:$E$51</c:f>
              <c:strCache>
                <c:ptCount val="1"/>
                <c:pt idx="0">
                  <c:v>Lazaro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TABLAS'!$E$52:$E$70</c:f>
              <c:numCache>
                <c:formatCode>General</c:formatCode>
                <c:ptCount val="18"/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84-4399-B112-D5F00ACA86CB}"/>
            </c:ext>
          </c:extLst>
        </c:ser>
        <c:ser>
          <c:idx val="4"/>
          <c:order val="4"/>
          <c:tx>
            <c:strRef>
              <c:f>'4 – TABLAS'!$F$50:$F$51</c:f>
              <c:strCache>
                <c:ptCount val="1"/>
                <c:pt idx="0">
                  <c:v>Lean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TABLAS'!$F$52:$F$70</c:f>
              <c:numCache>
                <c:formatCode>General</c:formatCode>
                <c:ptCount val="18"/>
                <c:pt idx="1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84-4399-B112-D5F00ACA86CB}"/>
            </c:ext>
          </c:extLst>
        </c:ser>
        <c:ser>
          <c:idx val="5"/>
          <c:order val="5"/>
          <c:tx>
            <c:strRef>
              <c:f>'4 – TABLAS'!$G$50:$G$51</c:f>
              <c:strCache>
                <c:ptCount val="1"/>
                <c:pt idx="0">
                  <c:v>Marco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TABLAS'!$G$52:$G$70</c:f>
              <c:numCache>
                <c:formatCode>General</c:formatCode>
                <c:ptCount val="18"/>
                <c:pt idx="13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84-4399-B112-D5F00ACA86CB}"/>
            </c:ext>
          </c:extLst>
        </c:ser>
        <c:ser>
          <c:idx val="6"/>
          <c:order val="6"/>
          <c:tx>
            <c:strRef>
              <c:f>'4 – TABLAS'!$H$50:$H$51</c:f>
              <c:strCache>
                <c:ptCount val="1"/>
                <c:pt idx="0">
                  <c:v>Mariano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TABLAS'!$H$52:$H$70</c:f>
              <c:numCache>
                <c:formatCode>General</c:formatCode>
                <c:ptCount val="18"/>
                <c:pt idx="1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84-4399-B112-D5F00ACA86CB}"/>
            </c:ext>
          </c:extLst>
        </c:ser>
        <c:ser>
          <c:idx val="7"/>
          <c:order val="7"/>
          <c:tx>
            <c:strRef>
              <c:f>'4 – TABLAS'!$I$50:$I$51</c:f>
              <c:strCache>
                <c:ptCount val="1"/>
                <c:pt idx="0">
                  <c:v>Martin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TABLAS'!$I$52:$I$70</c:f>
              <c:numCache>
                <c:formatCode>General</c:formatCode>
                <c:ptCount val="18"/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84-4399-B112-D5F00ACA86CB}"/>
            </c:ext>
          </c:extLst>
        </c:ser>
        <c:ser>
          <c:idx val="8"/>
          <c:order val="8"/>
          <c:tx>
            <c:strRef>
              <c:f>'4 – TABLAS'!$J$50:$J$51</c:f>
              <c:strCache>
                <c:ptCount val="1"/>
                <c:pt idx="0">
                  <c:v>Paula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TABLAS'!$J$52:$J$70</c:f>
              <c:numCache>
                <c:formatCode>General</c:formatCode>
                <c:ptCount val="18"/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84-4399-B112-D5F00ACA86CB}"/>
            </c:ext>
          </c:extLst>
        </c:ser>
        <c:ser>
          <c:idx val="9"/>
          <c:order val="9"/>
          <c:tx>
            <c:strRef>
              <c:f>'4 – TABLAS'!$K$50:$K$51</c:f>
              <c:strCache>
                <c:ptCount val="1"/>
                <c:pt idx="0">
                  <c:v>tito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'4 – TABLAS'!$A$52:$A$70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TABLAS'!$K$52:$K$70</c:f>
              <c:numCache>
                <c:formatCode>General</c:formatCode>
                <c:ptCount val="18"/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84-4399-B112-D5F00ACA8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4437904"/>
        <c:axId val="464437424"/>
        <c:axId val="0"/>
      </c:bar3DChart>
      <c:catAx>
        <c:axId val="46443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37424"/>
        <c:crosses val="autoZero"/>
        <c:auto val="1"/>
        <c:lblAlgn val="ctr"/>
        <c:lblOffset val="100"/>
        <c:noMultiLvlLbl val="0"/>
      </c:catAx>
      <c:valAx>
        <c:axId val="46443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3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73944229697822E-2"/>
          <c:y val="5.3578131444825511E-2"/>
          <c:w val="0.78341073316689047"/>
          <c:h val="0.87841560587960754"/>
        </c:manualLayout>
      </c:layout>
      <c:area3DChart>
        <c:grouping val="standard"/>
        <c:varyColors val="0"/>
        <c:ser>
          <c:idx val="0"/>
          <c:order val="0"/>
          <c:tx>
            <c:strRef>
              <c:f>'4 – TABLAS'!$B$74:$B$75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TABLAS'!$B$76:$B$80</c:f>
              <c:numCache>
                <c:formatCode>General</c:formatCode>
                <c:ptCount val="4"/>
                <c:pt idx="1">
                  <c:v>141</c:v>
                </c:pt>
                <c:pt idx="2">
                  <c:v>346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5-4A64-BC5D-BD16C18DB95D}"/>
            </c:ext>
          </c:extLst>
        </c:ser>
        <c:ser>
          <c:idx val="1"/>
          <c:order val="1"/>
          <c:tx>
            <c:strRef>
              <c:f>'4 – TABLAS'!$C$74:$C$75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TABLAS'!$C$76:$C$80</c:f>
              <c:numCache>
                <c:formatCode>General</c:formatCode>
                <c:ptCount val="4"/>
                <c:pt idx="1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5-4A64-BC5D-BD16C18DB95D}"/>
            </c:ext>
          </c:extLst>
        </c:ser>
        <c:ser>
          <c:idx val="2"/>
          <c:order val="2"/>
          <c:tx>
            <c:strRef>
              <c:f>'4 – TABLAS'!$D$74:$D$75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TABLAS'!$D$76:$D$80</c:f>
              <c:numCache>
                <c:formatCode>General</c:formatCode>
                <c:ptCount val="4"/>
                <c:pt idx="0">
                  <c:v>345</c:v>
                </c:pt>
                <c:pt idx="1">
                  <c:v>424</c:v>
                </c:pt>
                <c:pt idx="2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5-4A64-BC5D-BD16C18DB95D}"/>
            </c:ext>
          </c:extLst>
        </c:ser>
        <c:ser>
          <c:idx val="3"/>
          <c:order val="3"/>
          <c:tx>
            <c:strRef>
              <c:f>'4 – TABLAS'!$E$74:$E$75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'4 – TABLAS'!$A$76:$A$80</c:f>
              <c:strCache>
                <c:ptCount val="4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'4 – TABLAS'!$E$76:$E$80</c:f>
              <c:numCache>
                <c:formatCode>General</c:formatCode>
                <c:ptCount val="4"/>
                <c:pt idx="0">
                  <c:v>368</c:v>
                </c:pt>
                <c:pt idx="1">
                  <c:v>383</c:v>
                </c:pt>
                <c:pt idx="2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5-4A64-BC5D-BD16C18D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52784"/>
        <c:axId val="464451344"/>
        <c:axId val="763131040"/>
      </c:area3DChart>
      <c:catAx>
        <c:axId val="46445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51344"/>
        <c:crosses val="autoZero"/>
        <c:auto val="1"/>
        <c:lblAlgn val="ctr"/>
        <c:lblOffset val="100"/>
        <c:noMultiLvlLbl val="0"/>
      </c:catAx>
      <c:valAx>
        <c:axId val="4644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52784"/>
        <c:crosses val="autoZero"/>
        <c:crossBetween val="midCat"/>
      </c:valAx>
      <c:serAx>
        <c:axId val="763131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513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'4 – TABLAS'!$B$85:$B$87</c:f>
              <c:strCache>
                <c:ptCount val="1"/>
                <c:pt idx="0">
                  <c:v>FEBRERO - 1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TABLAS'!$B$88:$B$106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9-43BD-9736-BDCE13201903}"/>
            </c:ext>
          </c:extLst>
        </c:ser>
        <c:ser>
          <c:idx val="1"/>
          <c:order val="1"/>
          <c:tx>
            <c:strRef>
              <c:f>'4 – TABLAS'!$C$85:$C$87</c:f>
              <c:strCache>
                <c:ptCount val="1"/>
                <c:pt idx="0">
                  <c:v>FEBRERO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TABLAS'!$C$88:$C$106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9-43BD-9736-BDCE13201903}"/>
            </c:ext>
          </c:extLst>
        </c:ser>
        <c:ser>
          <c:idx val="2"/>
          <c:order val="2"/>
          <c:tx>
            <c:strRef>
              <c:f>'4 – TABLAS'!$D$85:$D$87</c:f>
              <c:strCache>
                <c:ptCount val="1"/>
                <c:pt idx="0">
                  <c:v>FEBRERO - 3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TABLAS'!$D$88:$D$106</c:f>
              <c:numCache>
                <c:formatCode>General</c:formatCode>
                <c:ptCount val="18"/>
                <c:pt idx="0">
                  <c:v>6</c:v>
                </c:pt>
                <c:pt idx="1">
                  <c:v>41</c:v>
                </c:pt>
                <c:pt idx="2">
                  <c:v>98</c:v>
                </c:pt>
                <c:pt idx="3">
                  <c:v>2</c:v>
                </c:pt>
                <c:pt idx="4">
                  <c:v>1</c:v>
                </c:pt>
                <c:pt idx="5">
                  <c:v>111</c:v>
                </c:pt>
                <c:pt idx="7">
                  <c:v>1</c:v>
                </c:pt>
                <c:pt idx="8">
                  <c:v>10</c:v>
                </c:pt>
                <c:pt idx="10">
                  <c:v>5</c:v>
                </c:pt>
                <c:pt idx="11">
                  <c:v>3</c:v>
                </c:pt>
                <c:pt idx="13">
                  <c:v>35</c:v>
                </c:pt>
                <c:pt idx="14">
                  <c:v>22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9-43BD-9736-BDCE13201903}"/>
            </c:ext>
          </c:extLst>
        </c:ser>
        <c:ser>
          <c:idx val="3"/>
          <c:order val="3"/>
          <c:tx>
            <c:strRef>
              <c:f>'4 – TABLAS'!$E$85:$E$87</c:f>
              <c:strCache>
                <c:ptCount val="1"/>
                <c:pt idx="0">
                  <c:v>FEBRERO - 4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TABLAS'!$E$88:$E$106</c:f>
              <c:numCache>
                <c:formatCode>General</c:formatCode>
                <c:ptCount val="18"/>
                <c:pt idx="0">
                  <c:v>7</c:v>
                </c:pt>
                <c:pt idx="1">
                  <c:v>49</c:v>
                </c:pt>
                <c:pt idx="2">
                  <c:v>104</c:v>
                </c:pt>
                <c:pt idx="3">
                  <c:v>3</c:v>
                </c:pt>
                <c:pt idx="4">
                  <c:v>2</c:v>
                </c:pt>
                <c:pt idx="5">
                  <c:v>111</c:v>
                </c:pt>
                <c:pt idx="7">
                  <c:v>3</c:v>
                </c:pt>
                <c:pt idx="8">
                  <c:v>11</c:v>
                </c:pt>
                <c:pt idx="10">
                  <c:v>4</c:v>
                </c:pt>
                <c:pt idx="11">
                  <c:v>3</c:v>
                </c:pt>
                <c:pt idx="13">
                  <c:v>38</c:v>
                </c:pt>
                <c:pt idx="14">
                  <c:v>21</c:v>
                </c:pt>
                <c:pt idx="15">
                  <c:v>3</c:v>
                </c:pt>
                <c:pt idx="16">
                  <c:v>5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9-43BD-9736-BDCE13201903}"/>
            </c:ext>
          </c:extLst>
        </c:ser>
        <c:ser>
          <c:idx val="4"/>
          <c:order val="4"/>
          <c:tx>
            <c:strRef>
              <c:f>'4 – TABLAS'!$G$85:$G$87</c:f>
              <c:strCache>
                <c:ptCount val="1"/>
                <c:pt idx="0">
                  <c:v>MARZO - 1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TABLAS'!$G$88:$G$106</c:f>
              <c:numCache>
                <c:formatCode>General</c:formatCode>
                <c:ptCount val="18"/>
                <c:pt idx="0">
                  <c:v>3</c:v>
                </c:pt>
                <c:pt idx="1">
                  <c:v>19</c:v>
                </c:pt>
                <c:pt idx="2">
                  <c:v>55</c:v>
                </c:pt>
                <c:pt idx="3">
                  <c:v>3</c:v>
                </c:pt>
                <c:pt idx="4">
                  <c:v>3</c:v>
                </c:pt>
                <c:pt idx="5">
                  <c:v>23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1">
                  <c:v>1</c:v>
                </c:pt>
                <c:pt idx="13">
                  <c:v>11</c:v>
                </c:pt>
                <c:pt idx="14">
                  <c:v>13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9-43BD-9736-BDCE13201903}"/>
            </c:ext>
          </c:extLst>
        </c:ser>
        <c:ser>
          <c:idx val="5"/>
          <c:order val="5"/>
          <c:tx>
            <c:strRef>
              <c:f>'4 – TABLAS'!$H$85:$H$87</c:f>
              <c:strCache>
                <c:ptCount val="1"/>
                <c:pt idx="0">
                  <c:v>MARZO - 2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TABLAS'!$H$88:$H$106</c:f>
              <c:numCache>
                <c:formatCode>General</c:formatCode>
                <c:ptCount val="18"/>
                <c:pt idx="0">
                  <c:v>10</c:v>
                </c:pt>
                <c:pt idx="1">
                  <c:v>61</c:v>
                </c:pt>
                <c:pt idx="2">
                  <c:v>125</c:v>
                </c:pt>
                <c:pt idx="3">
                  <c:v>4</c:v>
                </c:pt>
                <c:pt idx="4">
                  <c:v>12</c:v>
                </c:pt>
                <c:pt idx="5">
                  <c:v>120</c:v>
                </c:pt>
                <c:pt idx="7">
                  <c:v>2</c:v>
                </c:pt>
                <c:pt idx="8">
                  <c:v>9</c:v>
                </c:pt>
                <c:pt idx="10">
                  <c:v>8</c:v>
                </c:pt>
                <c:pt idx="11">
                  <c:v>2</c:v>
                </c:pt>
                <c:pt idx="13">
                  <c:v>21</c:v>
                </c:pt>
                <c:pt idx="14">
                  <c:v>29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59-43BD-9736-BDCE13201903}"/>
            </c:ext>
          </c:extLst>
        </c:ser>
        <c:ser>
          <c:idx val="6"/>
          <c:order val="6"/>
          <c:tx>
            <c:strRef>
              <c:f>'4 – TABLAS'!$I$85:$I$87</c:f>
              <c:strCache>
                <c:ptCount val="1"/>
                <c:pt idx="0">
                  <c:v>MARZO - 3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TABLAS'!$I$88:$I$106</c:f>
              <c:numCache>
                <c:formatCode>General</c:formatCode>
                <c:ptCount val="18"/>
                <c:pt idx="0">
                  <c:v>10</c:v>
                </c:pt>
                <c:pt idx="1">
                  <c:v>72</c:v>
                </c:pt>
                <c:pt idx="2">
                  <c:v>122</c:v>
                </c:pt>
                <c:pt idx="3">
                  <c:v>4</c:v>
                </c:pt>
                <c:pt idx="4">
                  <c:v>14</c:v>
                </c:pt>
                <c:pt idx="5">
                  <c:v>116</c:v>
                </c:pt>
                <c:pt idx="6">
                  <c:v>6</c:v>
                </c:pt>
                <c:pt idx="7">
                  <c:v>1</c:v>
                </c:pt>
                <c:pt idx="8">
                  <c:v>9</c:v>
                </c:pt>
                <c:pt idx="10">
                  <c:v>8</c:v>
                </c:pt>
                <c:pt idx="11">
                  <c:v>6</c:v>
                </c:pt>
                <c:pt idx="13">
                  <c:v>24</c:v>
                </c:pt>
                <c:pt idx="14">
                  <c:v>24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59-43BD-9736-BDCE13201903}"/>
            </c:ext>
          </c:extLst>
        </c:ser>
        <c:ser>
          <c:idx val="7"/>
          <c:order val="7"/>
          <c:tx>
            <c:strRef>
              <c:f>'4 – TABLAS'!$J$85:$J$87</c:f>
              <c:strCache>
                <c:ptCount val="1"/>
                <c:pt idx="0">
                  <c:v>MARZO - 4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TABLAS'!$J$88:$J$106</c:f>
              <c:numCache>
                <c:formatCode>General</c:formatCode>
                <c:ptCount val="18"/>
                <c:pt idx="0">
                  <c:v>10</c:v>
                </c:pt>
                <c:pt idx="1">
                  <c:v>60</c:v>
                </c:pt>
                <c:pt idx="2">
                  <c:v>107</c:v>
                </c:pt>
                <c:pt idx="3">
                  <c:v>4</c:v>
                </c:pt>
                <c:pt idx="4">
                  <c:v>12</c:v>
                </c:pt>
                <c:pt idx="5">
                  <c:v>103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1">
                  <c:v>6</c:v>
                </c:pt>
                <c:pt idx="13">
                  <c:v>22</c:v>
                </c:pt>
                <c:pt idx="14">
                  <c:v>27</c:v>
                </c:pt>
                <c:pt idx="16">
                  <c:v>8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59-43BD-9736-BDCE13201903}"/>
            </c:ext>
          </c:extLst>
        </c:ser>
        <c:ser>
          <c:idx val="8"/>
          <c:order val="8"/>
          <c:tx>
            <c:strRef>
              <c:f>'4 – TABLAS'!$L$85:$L$87</c:f>
              <c:strCache>
                <c:ptCount val="1"/>
                <c:pt idx="0">
                  <c:v>ABRIL - 1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TABLAS'!$L$88:$L$106</c:f>
              <c:numCache>
                <c:formatCode>General</c:formatCode>
                <c:ptCount val="18"/>
                <c:pt idx="0">
                  <c:v>5</c:v>
                </c:pt>
                <c:pt idx="1">
                  <c:v>60</c:v>
                </c:pt>
                <c:pt idx="2">
                  <c:v>94</c:v>
                </c:pt>
                <c:pt idx="3">
                  <c:v>4</c:v>
                </c:pt>
                <c:pt idx="4">
                  <c:v>13</c:v>
                </c:pt>
                <c:pt idx="5">
                  <c:v>91</c:v>
                </c:pt>
                <c:pt idx="6">
                  <c:v>7</c:v>
                </c:pt>
                <c:pt idx="7">
                  <c:v>1</c:v>
                </c:pt>
                <c:pt idx="8">
                  <c:v>8</c:v>
                </c:pt>
                <c:pt idx="9">
                  <c:v>9</c:v>
                </c:pt>
                <c:pt idx="11">
                  <c:v>6</c:v>
                </c:pt>
                <c:pt idx="13">
                  <c:v>20</c:v>
                </c:pt>
                <c:pt idx="14">
                  <c:v>18</c:v>
                </c:pt>
                <c:pt idx="16">
                  <c:v>6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59-43BD-9736-BDCE13201903}"/>
            </c:ext>
          </c:extLst>
        </c:ser>
        <c:ser>
          <c:idx val="9"/>
          <c:order val="9"/>
          <c:tx>
            <c:strRef>
              <c:f>'4 – TABLAS'!$M$85:$M$87</c:f>
              <c:strCache>
                <c:ptCount val="1"/>
                <c:pt idx="0">
                  <c:v>ABRIL - 2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TABLAS'!$M$88:$M$106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59-43BD-9736-BDCE13201903}"/>
            </c:ext>
          </c:extLst>
        </c:ser>
        <c:ser>
          <c:idx val="10"/>
          <c:order val="10"/>
          <c:tx>
            <c:strRef>
              <c:f>'4 – TABLAS'!$N$85:$N$87</c:f>
              <c:strCache>
                <c:ptCount val="1"/>
                <c:pt idx="0">
                  <c:v>ABRIL - 3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TABLAS'!$N$88:$N$106</c:f>
              <c:numCache>
                <c:formatCode>General</c:formatCode>
                <c:ptCount val="18"/>
                <c:pt idx="0">
                  <c:v>7</c:v>
                </c:pt>
                <c:pt idx="1">
                  <c:v>53</c:v>
                </c:pt>
                <c:pt idx="2">
                  <c:v>122</c:v>
                </c:pt>
                <c:pt idx="3">
                  <c:v>5</c:v>
                </c:pt>
                <c:pt idx="4">
                  <c:v>12</c:v>
                </c:pt>
                <c:pt idx="5">
                  <c:v>85</c:v>
                </c:pt>
                <c:pt idx="6">
                  <c:v>5</c:v>
                </c:pt>
                <c:pt idx="7">
                  <c:v>2</c:v>
                </c:pt>
                <c:pt idx="8">
                  <c:v>10</c:v>
                </c:pt>
                <c:pt idx="9">
                  <c:v>7</c:v>
                </c:pt>
                <c:pt idx="11">
                  <c:v>3</c:v>
                </c:pt>
                <c:pt idx="13">
                  <c:v>20</c:v>
                </c:pt>
                <c:pt idx="14">
                  <c:v>23</c:v>
                </c:pt>
                <c:pt idx="16">
                  <c:v>8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59-43BD-9736-BDCE13201903}"/>
            </c:ext>
          </c:extLst>
        </c:ser>
        <c:ser>
          <c:idx val="11"/>
          <c:order val="11"/>
          <c:tx>
            <c:strRef>
              <c:f>'4 – TABLAS'!$O$85:$O$87</c:f>
              <c:strCache>
                <c:ptCount val="1"/>
                <c:pt idx="0">
                  <c:v>ABRIL - 4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TABLAS'!$O$88:$O$106</c:f>
              <c:numCache>
                <c:formatCode>General</c:formatCode>
                <c:ptCount val="18"/>
                <c:pt idx="0">
                  <c:v>8</c:v>
                </c:pt>
                <c:pt idx="1">
                  <c:v>56</c:v>
                </c:pt>
                <c:pt idx="2">
                  <c:v>122</c:v>
                </c:pt>
                <c:pt idx="3">
                  <c:v>2</c:v>
                </c:pt>
                <c:pt idx="4">
                  <c:v>14</c:v>
                </c:pt>
                <c:pt idx="5">
                  <c:v>81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  <c:pt idx="9">
                  <c:v>6</c:v>
                </c:pt>
                <c:pt idx="11">
                  <c:v>2</c:v>
                </c:pt>
                <c:pt idx="13">
                  <c:v>15</c:v>
                </c:pt>
                <c:pt idx="14">
                  <c:v>24</c:v>
                </c:pt>
                <c:pt idx="16">
                  <c:v>8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59-43BD-9736-BDCE13201903}"/>
            </c:ext>
          </c:extLst>
        </c:ser>
        <c:ser>
          <c:idx val="12"/>
          <c:order val="12"/>
          <c:tx>
            <c:strRef>
              <c:f>'4 – TABLAS'!$Q$85:$Q$87</c:f>
              <c:strCache>
                <c:ptCount val="1"/>
                <c:pt idx="0">
                  <c:v>MAYO - 1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TABLAS'!$Q$88:$Q$106</c:f>
              <c:numCache>
                <c:formatCode>General</c:formatCode>
                <c:ptCount val="18"/>
                <c:pt idx="0">
                  <c:v>6</c:v>
                </c:pt>
                <c:pt idx="1">
                  <c:v>49</c:v>
                </c:pt>
                <c:pt idx="2">
                  <c:v>109</c:v>
                </c:pt>
                <c:pt idx="3">
                  <c:v>2</c:v>
                </c:pt>
                <c:pt idx="4">
                  <c:v>18</c:v>
                </c:pt>
                <c:pt idx="5">
                  <c:v>74</c:v>
                </c:pt>
                <c:pt idx="7">
                  <c:v>2</c:v>
                </c:pt>
                <c:pt idx="8">
                  <c:v>7</c:v>
                </c:pt>
                <c:pt idx="9">
                  <c:v>7</c:v>
                </c:pt>
                <c:pt idx="11">
                  <c:v>4</c:v>
                </c:pt>
                <c:pt idx="14">
                  <c:v>15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59-43BD-9736-BDCE13201903}"/>
            </c:ext>
          </c:extLst>
        </c:ser>
        <c:ser>
          <c:idx val="13"/>
          <c:order val="13"/>
          <c:tx>
            <c:strRef>
              <c:f>'4 – TABLAS'!$R$85:$R$87</c:f>
              <c:strCache>
                <c:ptCount val="1"/>
                <c:pt idx="0">
                  <c:v>MAYO - 2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TABLAS'!$R$88:$R$106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59-43BD-9736-BDCE13201903}"/>
            </c:ext>
          </c:extLst>
        </c:ser>
        <c:ser>
          <c:idx val="14"/>
          <c:order val="14"/>
          <c:tx>
            <c:strRef>
              <c:f>'4 – TABLAS'!$S$85:$S$87</c:f>
              <c:strCache>
                <c:ptCount val="1"/>
                <c:pt idx="0">
                  <c:v>MAYO - 3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TABLAS'!$S$88:$S$106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59-43BD-9736-BDCE13201903}"/>
            </c:ext>
          </c:extLst>
        </c:ser>
        <c:ser>
          <c:idx val="15"/>
          <c:order val="15"/>
          <c:tx>
            <c:strRef>
              <c:f>'4 – TABLAS'!$T$85:$T$87</c:f>
              <c:strCache>
                <c:ptCount val="1"/>
                <c:pt idx="0">
                  <c:v>MAYO - 4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TABLAS'!$T$88:$T$106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59-43BD-9736-BDCE13201903}"/>
            </c:ext>
          </c:extLst>
        </c:ser>
        <c:ser>
          <c:idx val="16"/>
          <c:order val="16"/>
          <c:tx>
            <c:strRef>
              <c:f>'4 – TABLAS'!$V$85:$V$87</c:f>
              <c:strCache>
                <c:ptCount val="1"/>
                <c:pt idx="0">
                  <c:v>JUNIO - 1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TABLAS'!$V$88:$V$106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59-43BD-9736-BDCE13201903}"/>
            </c:ext>
          </c:extLst>
        </c:ser>
        <c:ser>
          <c:idx val="17"/>
          <c:order val="17"/>
          <c:tx>
            <c:strRef>
              <c:f>'4 – TABLAS'!$W$85:$W$87</c:f>
              <c:strCache>
                <c:ptCount val="1"/>
                <c:pt idx="0">
                  <c:v>JUNIO - 2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TABLAS'!$W$88:$W$106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59-43BD-9736-BDCE13201903}"/>
            </c:ext>
          </c:extLst>
        </c:ser>
        <c:ser>
          <c:idx val="18"/>
          <c:order val="18"/>
          <c:tx>
            <c:strRef>
              <c:f>'4 – TABLAS'!$X$85:$X$87</c:f>
              <c:strCache>
                <c:ptCount val="1"/>
                <c:pt idx="0">
                  <c:v>JUNIO - 3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TABLAS'!$X$88:$X$106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59-43BD-9736-BDCE13201903}"/>
            </c:ext>
          </c:extLst>
        </c:ser>
        <c:ser>
          <c:idx val="19"/>
          <c:order val="19"/>
          <c:tx>
            <c:strRef>
              <c:f>'4 – TABLAS'!$Y$85:$Y$87</c:f>
              <c:strCache>
                <c:ptCount val="1"/>
                <c:pt idx="0">
                  <c:v>JUNIO - 4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 – TABLAS'!$A$88:$A$106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TABLAS'!$Y$88:$Y$106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59-43BD-9736-BDCE13201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931376"/>
        <c:axId val="1013926576"/>
      </c:lineChart>
      <c:catAx>
        <c:axId val="1013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13926576"/>
        <c:crosses val="autoZero"/>
        <c:auto val="1"/>
        <c:lblAlgn val="ctr"/>
        <c:lblOffset val="100"/>
        <c:noMultiLvlLbl val="0"/>
      </c:catAx>
      <c:valAx>
        <c:axId val="10139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139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'4 – TABLAS'!$B$110:$B$112</c:f>
              <c:strCache>
                <c:ptCount val="1"/>
                <c:pt idx="0">
                  <c:v>FEBRERO - 1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TABLAS'!$B$113:$B$122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A-4A31-8AB7-A03CF99E0A87}"/>
            </c:ext>
          </c:extLst>
        </c:ser>
        <c:ser>
          <c:idx val="1"/>
          <c:order val="1"/>
          <c:tx>
            <c:strRef>
              <c:f>'4 – TABLAS'!$C$110:$C$112</c:f>
              <c:strCache>
                <c:ptCount val="1"/>
                <c:pt idx="0">
                  <c:v>FEBRERO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TABLAS'!$C$113:$C$122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A-4A31-8AB7-A03CF99E0A87}"/>
            </c:ext>
          </c:extLst>
        </c:ser>
        <c:ser>
          <c:idx val="2"/>
          <c:order val="2"/>
          <c:tx>
            <c:strRef>
              <c:f>'4 – TABLAS'!$D$110:$D$112</c:f>
              <c:strCache>
                <c:ptCount val="1"/>
                <c:pt idx="0">
                  <c:v>FEBRERO - 3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TABLAS'!$D$113:$D$122</c:f>
              <c:numCache>
                <c:formatCode>General</c:formatCode>
                <c:ptCount val="9"/>
                <c:pt idx="0">
                  <c:v>20</c:v>
                </c:pt>
                <c:pt idx="1">
                  <c:v>26</c:v>
                </c:pt>
                <c:pt idx="2">
                  <c:v>12</c:v>
                </c:pt>
                <c:pt idx="3">
                  <c:v>2</c:v>
                </c:pt>
                <c:pt idx="4">
                  <c:v>33</c:v>
                </c:pt>
                <c:pt idx="5">
                  <c:v>20</c:v>
                </c:pt>
                <c:pt idx="6">
                  <c:v>33</c:v>
                </c:pt>
                <c:pt idx="7">
                  <c:v>6</c:v>
                </c:pt>
                <c:pt idx="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A-4A31-8AB7-A03CF99E0A87}"/>
            </c:ext>
          </c:extLst>
        </c:ser>
        <c:ser>
          <c:idx val="3"/>
          <c:order val="3"/>
          <c:tx>
            <c:strRef>
              <c:f>'4 – TABLAS'!$E$110:$E$112</c:f>
              <c:strCache>
                <c:ptCount val="1"/>
                <c:pt idx="0">
                  <c:v>FEBRERO - 4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TABLAS'!$E$113:$E$122</c:f>
              <c:numCache>
                <c:formatCode>General</c:formatCode>
                <c:ptCount val="9"/>
                <c:pt idx="0">
                  <c:v>19</c:v>
                </c:pt>
                <c:pt idx="1">
                  <c:v>28</c:v>
                </c:pt>
                <c:pt idx="2">
                  <c:v>13</c:v>
                </c:pt>
                <c:pt idx="3">
                  <c:v>3</c:v>
                </c:pt>
                <c:pt idx="4">
                  <c:v>35</c:v>
                </c:pt>
                <c:pt idx="5">
                  <c:v>24</c:v>
                </c:pt>
                <c:pt idx="6">
                  <c:v>36</c:v>
                </c:pt>
                <c:pt idx="7">
                  <c:v>6</c:v>
                </c:pt>
                <c:pt idx="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A-4A31-8AB7-A03CF99E0A87}"/>
            </c:ext>
          </c:extLst>
        </c:ser>
        <c:ser>
          <c:idx val="4"/>
          <c:order val="4"/>
          <c:tx>
            <c:strRef>
              <c:f>'4 – TABLAS'!$F$110:$F$112</c:f>
              <c:strCache>
                <c:ptCount val="1"/>
                <c:pt idx="0">
                  <c:v>MARZO - 1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TABLAS'!$F$113:$F$122</c:f>
              <c:numCache>
                <c:formatCode>General</c:formatCode>
                <c:ptCount val="9"/>
                <c:pt idx="0">
                  <c:v>17</c:v>
                </c:pt>
                <c:pt idx="1">
                  <c:v>13</c:v>
                </c:pt>
                <c:pt idx="2">
                  <c:v>6</c:v>
                </c:pt>
                <c:pt idx="3">
                  <c:v>1</c:v>
                </c:pt>
                <c:pt idx="4">
                  <c:v>10</c:v>
                </c:pt>
                <c:pt idx="5">
                  <c:v>11</c:v>
                </c:pt>
                <c:pt idx="6">
                  <c:v>14</c:v>
                </c:pt>
                <c:pt idx="7">
                  <c:v>3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3A-4A31-8AB7-A03CF99E0A87}"/>
            </c:ext>
          </c:extLst>
        </c:ser>
        <c:ser>
          <c:idx val="5"/>
          <c:order val="5"/>
          <c:tx>
            <c:strRef>
              <c:f>'4 – TABLAS'!$G$110:$G$112</c:f>
              <c:strCache>
                <c:ptCount val="1"/>
                <c:pt idx="0">
                  <c:v>MARZO - 2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TABLAS'!$G$113:$G$122</c:f>
              <c:numCache>
                <c:formatCode>General</c:formatCode>
                <c:ptCount val="9"/>
                <c:pt idx="0">
                  <c:v>22</c:v>
                </c:pt>
                <c:pt idx="1">
                  <c:v>38</c:v>
                </c:pt>
                <c:pt idx="2">
                  <c:v>15</c:v>
                </c:pt>
                <c:pt idx="3">
                  <c:v>3</c:v>
                </c:pt>
                <c:pt idx="4">
                  <c:v>18</c:v>
                </c:pt>
                <c:pt idx="5">
                  <c:v>37</c:v>
                </c:pt>
                <c:pt idx="6">
                  <c:v>39</c:v>
                </c:pt>
                <c:pt idx="7">
                  <c:v>7</c:v>
                </c:pt>
                <c:pt idx="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3A-4A31-8AB7-A03CF99E0A87}"/>
            </c:ext>
          </c:extLst>
        </c:ser>
        <c:ser>
          <c:idx val="6"/>
          <c:order val="6"/>
          <c:tx>
            <c:strRef>
              <c:f>'4 – TABLAS'!$H$110:$H$112</c:f>
              <c:strCache>
                <c:ptCount val="1"/>
                <c:pt idx="0">
                  <c:v>MARZO - 3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TABLAS'!$H$113:$H$122</c:f>
              <c:numCache>
                <c:formatCode>General</c:formatCode>
                <c:ptCount val="9"/>
                <c:pt idx="0">
                  <c:v>19</c:v>
                </c:pt>
                <c:pt idx="1">
                  <c:v>35</c:v>
                </c:pt>
                <c:pt idx="2">
                  <c:v>18</c:v>
                </c:pt>
                <c:pt idx="3">
                  <c:v>3</c:v>
                </c:pt>
                <c:pt idx="4">
                  <c:v>21</c:v>
                </c:pt>
                <c:pt idx="5">
                  <c:v>47</c:v>
                </c:pt>
                <c:pt idx="6">
                  <c:v>37</c:v>
                </c:pt>
                <c:pt idx="7">
                  <c:v>7</c:v>
                </c:pt>
                <c:pt idx="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3A-4A31-8AB7-A03CF99E0A87}"/>
            </c:ext>
          </c:extLst>
        </c:ser>
        <c:ser>
          <c:idx val="7"/>
          <c:order val="7"/>
          <c:tx>
            <c:strRef>
              <c:f>'4 – TABLAS'!$I$110:$I$112</c:f>
              <c:strCache>
                <c:ptCount val="1"/>
                <c:pt idx="0">
                  <c:v>MARZO - 4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TABLAS'!$I$113:$I$122</c:f>
              <c:numCache>
                <c:formatCode>General</c:formatCode>
                <c:ptCount val="9"/>
                <c:pt idx="0">
                  <c:v>11</c:v>
                </c:pt>
                <c:pt idx="1">
                  <c:v>31</c:v>
                </c:pt>
                <c:pt idx="2">
                  <c:v>19</c:v>
                </c:pt>
                <c:pt idx="3">
                  <c:v>1</c:v>
                </c:pt>
                <c:pt idx="4">
                  <c:v>21</c:v>
                </c:pt>
                <c:pt idx="5">
                  <c:v>30</c:v>
                </c:pt>
                <c:pt idx="6">
                  <c:v>36</c:v>
                </c:pt>
                <c:pt idx="7">
                  <c:v>5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3A-4A31-8AB7-A03CF99E0A87}"/>
            </c:ext>
          </c:extLst>
        </c:ser>
        <c:ser>
          <c:idx val="8"/>
          <c:order val="8"/>
          <c:tx>
            <c:strRef>
              <c:f>'4 – TABLAS'!$J$110:$J$112</c:f>
              <c:strCache>
                <c:ptCount val="1"/>
                <c:pt idx="0">
                  <c:v>ABRIL - 1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TABLAS'!$J$113:$J$122</c:f>
              <c:numCache>
                <c:formatCode>General</c:formatCode>
                <c:ptCount val="9"/>
                <c:pt idx="0">
                  <c:v>14</c:v>
                </c:pt>
                <c:pt idx="1">
                  <c:v>30</c:v>
                </c:pt>
                <c:pt idx="2">
                  <c:v>14</c:v>
                </c:pt>
                <c:pt idx="3">
                  <c:v>0</c:v>
                </c:pt>
                <c:pt idx="4">
                  <c:v>20</c:v>
                </c:pt>
                <c:pt idx="5">
                  <c:v>39</c:v>
                </c:pt>
                <c:pt idx="6">
                  <c:v>26</c:v>
                </c:pt>
                <c:pt idx="7">
                  <c:v>5</c:v>
                </c:pt>
                <c:pt idx="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3A-4A31-8AB7-A03CF99E0A87}"/>
            </c:ext>
          </c:extLst>
        </c:ser>
        <c:ser>
          <c:idx val="9"/>
          <c:order val="9"/>
          <c:tx>
            <c:strRef>
              <c:f>'4 – TABLAS'!$K$110:$K$112</c:f>
              <c:strCache>
                <c:ptCount val="1"/>
                <c:pt idx="0">
                  <c:v>ABRIL - 2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TABLAS'!$K$113:$K$122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3A-4A31-8AB7-A03CF99E0A87}"/>
            </c:ext>
          </c:extLst>
        </c:ser>
        <c:ser>
          <c:idx val="10"/>
          <c:order val="10"/>
          <c:tx>
            <c:strRef>
              <c:f>'4 – TABLAS'!$L$110:$L$112</c:f>
              <c:strCache>
                <c:ptCount val="1"/>
                <c:pt idx="0">
                  <c:v>ABRIL - 3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TABLAS'!$L$113:$L$122</c:f>
              <c:numCache>
                <c:formatCode>General</c:formatCode>
                <c:ptCount val="9"/>
                <c:pt idx="0">
                  <c:v>22</c:v>
                </c:pt>
                <c:pt idx="1">
                  <c:v>37</c:v>
                </c:pt>
                <c:pt idx="2">
                  <c:v>17</c:v>
                </c:pt>
                <c:pt idx="3">
                  <c:v>1</c:v>
                </c:pt>
                <c:pt idx="4">
                  <c:v>19</c:v>
                </c:pt>
                <c:pt idx="5">
                  <c:v>33</c:v>
                </c:pt>
                <c:pt idx="6">
                  <c:v>36</c:v>
                </c:pt>
                <c:pt idx="7">
                  <c:v>8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3A-4A31-8AB7-A03CF99E0A87}"/>
            </c:ext>
          </c:extLst>
        </c:ser>
        <c:ser>
          <c:idx val="11"/>
          <c:order val="11"/>
          <c:tx>
            <c:strRef>
              <c:f>'4 – TABLAS'!$M$110:$M$112</c:f>
              <c:strCache>
                <c:ptCount val="1"/>
                <c:pt idx="0">
                  <c:v>ABRIL - 4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TABLAS'!$M$113:$M$122</c:f>
              <c:numCache>
                <c:formatCode>General</c:formatCode>
                <c:ptCount val="9"/>
                <c:pt idx="0">
                  <c:v>22</c:v>
                </c:pt>
                <c:pt idx="1">
                  <c:v>31</c:v>
                </c:pt>
                <c:pt idx="2">
                  <c:v>20</c:v>
                </c:pt>
                <c:pt idx="3">
                  <c:v>1</c:v>
                </c:pt>
                <c:pt idx="4">
                  <c:v>14</c:v>
                </c:pt>
                <c:pt idx="5">
                  <c:v>40</c:v>
                </c:pt>
                <c:pt idx="6">
                  <c:v>37</c:v>
                </c:pt>
                <c:pt idx="7">
                  <c:v>8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3A-4A31-8AB7-A03CF99E0A87}"/>
            </c:ext>
          </c:extLst>
        </c:ser>
        <c:ser>
          <c:idx val="12"/>
          <c:order val="12"/>
          <c:tx>
            <c:strRef>
              <c:f>'4 – TABLAS'!$N$110:$N$112</c:f>
              <c:strCache>
                <c:ptCount val="1"/>
                <c:pt idx="0">
                  <c:v>MAYO - 1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TABLAS'!$N$113:$N$122</c:f>
              <c:numCache>
                <c:formatCode>General</c:formatCode>
                <c:ptCount val="9"/>
                <c:pt idx="0">
                  <c:v>20</c:v>
                </c:pt>
                <c:pt idx="1">
                  <c:v>26</c:v>
                </c:pt>
                <c:pt idx="2">
                  <c:v>16</c:v>
                </c:pt>
                <c:pt idx="5">
                  <c:v>32</c:v>
                </c:pt>
                <c:pt idx="6">
                  <c:v>38</c:v>
                </c:pt>
                <c:pt idx="7">
                  <c:v>9</c:v>
                </c:pt>
                <c:pt idx="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3A-4A31-8AB7-A03CF99E0A87}"/>
            </c:ext>
          </c:extLst>
        </c:ser>
        <c:ser>
          <c:idx val="13"/>
          <c:order val="13"/>
          <c:tx>
            <c:strRef>
              <c:f>'4 – TABLAS'!$O$110:$O$112</c:f>
              <c:strCache>
                <c:ptCount val="1"/>
                <c:pt idx="0">
                  <c:v>MAYO - 2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TABLAS'!$O$113:$O$122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3A-4A31-8AB7-A03CF99E0A87}"/>
            </c:ext>
          </c:extLst>
        </c:ser>
        <c:ser>
          <c:idx val="14"/>
          <c:order val="14"/>
          <c:tx>
            <c:strRef>
              <c:f>'4 – TABLAS'!$P$110:$P$112</c:f>
              <c:strCache>
                <c:ptCount val="1"/>
                <c:pt idx="0">
                  <c:v>MAYO - 3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TABLAS'!$P$113:$P$122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3A-4A31-8AB7-A03CF99E0A87}"/>
            </c:ext>
          </c:extLst>
        </c:ser>
        <c:ser>
          <c:idx val="15"/>
          <c:order val="15"/>
          <c:tx>
            <c:strRef>
              <c:f>'4 – TABLAS'!$Q$110:$Q$112</c:f>
              <c:strCache>
                <c:ptCount val="1"/>
                <c:pt idx="0">
                  <c:v>MAYO - 4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TABLAS'!$Q$113:$Q$122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3A-4A31-8AB7-A03CF99E0A87}"/>
            </c:ext>
          </c:extLst>
        </c:ser>
        <c:ser>
          <c:idx val="16"/>
          <c:order val="16"/>
          <c:tx>
            <c:strRef>
              <c:f>'4 – TABLAS'!$R$110:$R$112</c:f>
              <c:strCache>
                <c:ptCount val="1"/>
                <c:pt idx="0">
                  <c:v>JUNIO - 1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TABLAS'!$R$113:$R$122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3A-4A31-8AB7-A03CF99E0A87}"/>
            </c:ext>
          </c:extLst>
        </c:ser>
        <c:ser>
          <c:idx val="17"/>
          <c:order val="17"/>
          <c:tx>
            <c:strRef>
              <c:f>'4 – TABLAS'!$S$110:$S$112</c:f>
              <c:strCache>
                <c:ptCount val="1"/>
                <c:pt idx="0">
                  <c:v>JUNIO - 2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TABLAS'!$S$113:$S$122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23A-4A31-8AB7-A03CF99E0A87}"/>
            </c:ext>
          </c:extLst>
        </c:ser>
        <c:ser>
          <c:idx val="18"/>
          <c:order val="18"/>
          <c:tx>
            <c:strRef>
              <c:f>'4 – TABLAS'!$T$110:$T$112</c:f>
              <c:strCache>
                <c:ptCount val="1"/>
                <c:pt idx="0">
                  <c:v>JUNIO - 3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TABLAS'!$T$113:$T$122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23A-4A31-8AB7-A03CF99E0A87}"/>
            </c:ext>
          </c:extLst>
        </c:ser>
        <c:ser>
          <c:idx val="19"/>
          <c:order val="19"/>
          <c:tx>
            <c:strRef>
              <c:f>'4 – TABLAS'!$U$110:$U$112</c:f>
              <c:strCache>
                <c:ptCount val="1"/>
                <c:pt idx="0">
                  <c:v>JUNIO - 4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'4 – TABLAS'!$A$113:$A$122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TABLAS'!$U$113:$U$122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23A-4A31-8AB7-A03CF99E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445104"/>
        <c:axId val="464445584"/>
      </c:lineChart>
      <c:catAx>
        <c:axId val="4644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45584"/>
        <c:crosses val="autoZero"/>
        <c:auto val="1"/>
        <c:lblAlgn val="ctr"/>
        <c:lblOffset val="100"/>
        <c:noMultiLvlLbl val="0"/>
      </c:catAx>
      <c:valAx>
        <c:axId val="4644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444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205393843654456E-2"/>
          <c:y val="0.25779967113428515"/>
          <c:w val="0.90403089193944075"/>
          <c:h val="0.71801593845536982"/>
        </c:manualLayout>
      </c:layout>
      <c:pie3DChart>
        <c:varyColors val="1"/>
        <c:ser>
          <c:idx val="0"/>
          <c:order val="0"/>
          <c:tx>
            <c:strRef>
              <c:f>'4 – TABLAS'!$B$2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1A-4F5C-BE46-438C6B83E4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1A-4F5C-BE46-438C6B83E4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1A-4F5C-BE46-438C6B83E4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1A-4F5C-BE46-438C6B83E4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1A-4F5C-BE46-438C6B83E4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1A-4F5C-BE46-438C6B83E4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E1A-4F5C-BE46-438C6B83E4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E1A-4F5C-BE46-438C6B83E4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E1A-4F5C-BE46-438C6B83E4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E1A-4F5C-BE46-438C6B83E4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E1A-4F5C-BE46-438C6B83E4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E1A-4F5C-BE46-438C6B83E4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E1A-4F5C-BE46-438C6B83E4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E1A-4F5C-BE46-438C6B83E4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9E1A-4F5C-BE46-438C6B83E4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E1A-4F5C-BE46-438C6B83E4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E1A-4F5C-BE46-438C6B83E4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E1A-4F5C-BE46-438C6B83E4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 – TABLAS'!$A$3:$A$21</c:f>
              <c:strCache>
                <c:ptCount val="18"/>
                <c:pt idx="0">
                  <c:v>Acro Kids</c:v>
                </c:pt>
                <c:pt idx="1">
                  <c:v>Boxeo</c:v>
                </c:pt>
                <c:pt idx="2">
                  <c:v>Calistenia</c:v>
                </c:pt>
                <c:pt idx="3">
                  <c:v>Cross Traning</c:v>
                </c:pt>
                <c:pt idx="4">
                  <c:v>EFA</c:v>
                </c:pt>
                <c:pt idx="5">
                  <c:v>Funcional</c:v>
                </c:pt>
                <c:pt idx="6">
                  <c:v>JIU JITSU</c:v>
                </c:pt>
                <c:pt idx="7">
                  <c:v>Karate</c:v>
                </c:pt>
                <c:pt idx="8">
                  <c:v>Lyra</c:v>
                </c:pt>
                <c:pt idx="9">
                  <c:v>MMA </c:v>
                </c:pt>
                <c:pt idx="10">
                  <c:v>MMA+BOXEO</c:v>
                </c:pt>
                <c:pt idx="11">
                  <c:v>Movimiento Consciente</c:v>
                </c:pt>
                <c:pt idx="12">
                  <c:v>Nutricion</c:v>
                </c:pt>
                <c:pt idx="13">
                  <c:v>Personalizados</c:v>
                </c:pt>
                <c:pt idx="14">
                  <c:v>Pole Sport</c:v>
                </c:pt>
                <c:pt idx="15">
                  <c:v>Taekwondo</c:v>
                </c:pt>
                <c:pt idx="16">
                  <c:v>Tela</c:v>
                </c:pt>
                <c:pt idx="17">
                  <c:v>Yoga y Yoga Columpio</c:v>
                </c:pt>
              </c:strCache>
            </c:strRef>
          </c:cat>
          <c:val>
            <c:numRef>
              <c:f>'4 – TABLAS'!$B$3:$B$21</c:f>
              <c:numCache>
                <c:formatCode>General</c:formatCode>
                <c:ptCount val="18"/>
                <c:pt idx="0">
                  <c:v>72</c:v>
                </c:pt>
                <c:pt idx="1">
                  <c:v>520</c:v>
                </c:pt>
                <c:pt idx="2">
                  <c:v>1058</c:v>
                </c:pt>
                <c:pt idx="3">
                  <c:v>33</c:v>
                </c:pt>
                <c:pt idx="4">
                  <c:v>101</c:v>
                </c:pt>
                <c:pt idx="5">
                  <c:v>915</c:v>
                </c:pt>
                <c:pt idx="6">
                  <c:v>24</c:v>
                </c:pt>
                <c:pt idx="7">
                  <c:v>17</c:v>
                </c:pt>
                <c:pt idx="8">
                  <c:v>89</c:v>
                </c:pt>
                <c:pt idx="9">
                  <c:v>37</c:v>
                </c:pt>
                <c:pt idx="10">
                  <c:v>25</c:v>
                </c:pt>
                <c:pt idx="11">
                  <c:v>36</c:v>
                </c:pt>
                <c:pt idx="13">
                  <c:v>206</c:v>
                </c:pt>
                <c:pt idx="14">
                  <c:v>216</c:v>
                </c:pt>
                <c:pt idx="15">
                  <c:v>7</c:v>
                </c:pt>
                <c:pt idx="16">
                  <c:v>54</c:v>
                </c:pt>
                <c:pt idx="1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E1A-4F5C-BE46-438C6B83E4E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[SOCIOS_ACTIVIDAD_FINAL.xlsx]4 – TABLAS!TablaDinámica2</c:name>
    <c:fmtId val="39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 – TABLAS'!$B$25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FE-44D1-975B-7DCB56F0C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FE-44D1-975B-7DCB56F0C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FE-44D1-975B-7DCB56F0C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FE-44D1-975B-7DCB56F0C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FE-44D1-975B-7DCB56F0CE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FE-44D1-975B-7DCB56F0CE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FE-44D1-975B-7DCB56F0CE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FE-44D1-975B-7DCB56F0CE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1FE-44D1-975B-7DCB56F0CE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 – TABLAS'!$A$26:$A$35</c:f>
              <c:strCache>
                <c:ptCount val="9"/>
                <c:pt idx="0">
                  <c:v>Agus</c:v>
                </c:pt>
                <c:pt idx="1">
                  <c:v>Edd</c:v>
                </c:pt>
                <c:pt idx="2">
                  <c:v>Lazaro</c:v>
                </c:pt>
                <c:pt idx="3">
                  <c:v>Lean</c:v>
                </c:pt>
                <c:pt idx="4">
                  <c:v>Marco</c:v>
                </c:pt>
                <c:pt idx="5">
                  <c:v>Mariano</c:v>
                </c:pt>
                <c:pt idx="6">
                  <c:v>Martin</c:v>
                </c:pt>
                <c:pt idx="7">
                  <c:v>Paula</c:v>
                </c:pt>
                <c:pt idx="8">
                  <c:v>tito</c:v>
                </c:pt>
              </c:strCache>
            </c:strRef>
          </c:cat>
          <c:val>
            <c:numRef>
              <c:f>'4 – TABLAS'!$B$26:$B$35</c:f>
              <c:numCache>
                <c:formatCode>General</c:formatCode>
                <c:ptCount val="9"/>
                <c:pt idx="0">
                  <c:v>186</c:v>
                </c:pt>
                <c:pt idx="1">
                  <c:v>295</c:v>
                </c:pt>
                <c:pt idx="2">
                  <c:v>150</c:v>
                </c:pt>
                <c:pt idx="3">
                  <c:v>15</c:v>
                </c:pt>
                <c:pt idx="4">
                  <c:v>191</c:v>
                </c:pt>
                <c:pt idx="5">
                  <c:v>313</c:v>
                </c:pt>
                <c:pt idx="6">
                  <c:v>332</c:v>
                </c:pt>
                <c:pt idx="7">
                  <c:v>64</c:v>
                </c:pt>
                <c:pt idx="8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FE-44D1-975B-7DCB56F0CEE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>
          <a:innerShdw blurRad="114300">
            <a:schemeClr val="tx1">
              <a:alpha val="40000"/>
            </a:schemeClr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2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PARETO</a:t>
          </a:r>
        </a:p>
      </cx:txPr>
    </cx:title>
    <cx:plotArea>
      <cx:plotAreaRegion>
        <cx:series layoutId="clusteredColumn" uniqueId="{3015BBB1-124F-4E74-ACCD-5946882E632E}">
          <cx:dataId val="0"/>
          <cx:layoutPr>
            <cx:aggregation/>
          </cx:layoutPr>
          <cx:axisId val="1"/>
        </cx:series>
        <cx:series layoutId="paretoLine" ownerIdx="0" uniqueId="{F76CE449-FABB-45B2-9857-7D974EB61AA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noFill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PARETO</a:t>
          </a:r>
        </a:p>
      </cx:txPr>
    </cx:title>
    <cx:plotArea>
      <cx:plotAreaRegion>
        <cx:series layoutId="clusteredColumn" uniqueId="{3EE7F43F-F9D5-4294-9973-5427C576F12C}">
          <cx:dataId val="0"/>
          <cx:layoutPr>
            <cx:aggregation/>
          </cx:layoutPr>
          <cx:axisId val="1"/>
        </cx:series>
        <cx:series layoutId="paretoLine" ownerIdx="0" uniqueId="{6A360D10-B6D4-4D75-943C-36CCFB17FD6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noFill/>
    </a:ln>
    <a:effectLst>
      <a:glow rad="127000">
        <a:schemeClr val="tx1">
          <a:alpha val="40000"/>
        </a:schemeClr>
      </a:glow>
      <a:innerShdw blurRad="114300">
        <a:prstClr val="black"/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9</xdr:col>
      <xdr:colOff>19050</xdr:colOff>
      <xdr:row>27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22A560-0307-BB0C-C752-037232B6E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4761</xdr:colOff>
      <xdr:row>0</xdr:row>
      <xdr:rowOff>9523</xdr:rowOff>
    </xdr:from>
    <xdr:to>
      <xdr:col>18</xdr:col>
      <xdr:colOff>28575</xdr:colOff>
      <xdr:row>27</xdr:row>
      <xdr:rowOff>19049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87AA53-7A3A-5CAE-99FC-AB488A9AF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6349</xdr:colOff>
      <xdr:row>29</xdr:row>
      <xdr:rowOff>0</xdr:rowOff>
    </xdr:from>
    <xdr:to>
      <xdr:col>8</xdr:col>
      <xdr:colOff>742950</xdr:colOff>
      <xdr:row>51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904E62-C0B3-4C91-932D-5BFB47A23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29</xdr:row>
      <xdr:rowOff>9524</xdr:rowOff>
    </xdr:from>
    <xdr:to>
      <xdr:col>17</xdr:col>
      <xdr:colOff>761999</xdr:colOff>
      <xdr:row>51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424884-271D-4D74-B982-AB571AF3A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28574</xdr:colOff>
      <xdr:row>53</xdr:row>
      <xdr:rowOff>152401</xdr:rowOff>
    </xdr:from>
    <xdr:to>
      <xdr:col>9</xdr:col>
      <xdr:colOff>9525</xdr:colOff>
      <xdr:row>76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FA8D25-BC2C-4064-A5EF-9D0B22D00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247649</xdr:colOff>
      <xdr:row>53</xdr:row>
      <xdr:rowOff>161924</xdr:rowOff>
    </xdr:from>
    <xdr:to>
      <xdr:col>18</xdr:col>
      <xdr:colOff>0</xdr:colOff>
      <xdr:row>76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86983A1-7E6F-47B5-BCEF-9F1453704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9526</xdr:colOff>
      <xdr:row>78</xdr:row>
      <xdr:rowOff>9525</xdr:rowOff>
    </xdr:from>
    <xdr:to>
      <xdr:col>8</xdr:col>
      <xdr:colOff>742950</xdr:colOff>
      <xdr:row>100</xdr:row>
      <xdr:rowOff>142875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7B104E9-728B-40A8-8F96-EC8D00F33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78</xdr:row>
      <xdr:rowOff>0</xdr:rowOff>
    </xdr:from>
    <xdr:to>
      <xdr:col>18</xdr:col>
      <xdr:colOff>0</xdr:colOff>
      <xdr:row>101</xdr:row>
      <xdr:rowOff>9525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A911EA3-17C0-4AC2-A641-858A468CC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238124</xdr:colOff>
      <xdr:row>102</xdr:row>
      <xdr:rowOff>114301</xdr:rowOff>
    </xdr:from>
    <xdr:to>
      <xdr:col>9</xdr:col>
      <xdr:colOff>19049</xdr:colOff>
      <xdr:row>124</xdr:row>
      <xdr:rowOff>152401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AF6BF59-9A99-4F37-9307-40D3CF3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3809</xdr:colOff>
      <xdr:row>102</xdr:row>
      <xdr:rowOff>152400</xdr:rowOff>
    </xdr:from>
    <xdr:to>
      <xdr:col>18</xdr:col>
      <xdr:colOff>3810</xdr:colOff>
      <xdr:row>125</xdr:row>
      <xdr:rowOff>15240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917E14F-4717-4D7D-B61A-89D659EBD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5714</xdr:colOff>
      <xdr:row>126</xdr:row>
      <xdr:rowOff>156210</xdr:rowOff>
    </xdr:from>
    <xdr:to>
      <xdr:col>9</xdr:col>
      <xdr:colOff>7619</xdr:colOff>
      <xdr:row>149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3E66FADE-92EE-E48A-8792-E0B8DA362F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4" y="20318730"/>
              <a:ext cx="6097905" cy="3547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249555</xdr:colOff>
      <xdr:row>126</xdr:row>
      <xdr:rowOff>150495</xdr:rowOff>
    </xdr:from>
    <xdr:to>
      <xdr:col>17</xdr:col>
      <xdr:colOff>754380</xdr:colOff>
      <xdr:row>149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0CC1A4B5-9D24-DD88-0377-43F9A41DE3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7015" y="20313015"/>
              <a:ext cx="6600825" cy="3537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ce" refreshedDate="46153.866770486115" createdVersion="8" refreshedVersion="8" minRefreshableVersion="3" recordCount="442" xr:uid="{4EA5B3D4-9A74-414D-B172-1339328A24E5}">
  <cacheSource type="worksheet">
    <worksheetSource name="a"/>
  </cacheSource>
  <cacheFields count="9">
    <cacheField name="SEMAN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FECHA" numFmtId="14">
      <sharedItems containsSemiMixedTypes="0" containsNonDate="0" containsDate="1" containsString="0" minDate="2025-02-01T00:00:00" maxDate="2025-06-02T00:00:00"/>
    </cacheField>
    <cacheField name="MES NUMERO" numFmtId="0">
      <sharedItems count="5">
        <s v="02"/>
        <s v="03"/>
        <s v="04"/>
        <s v="05"/>
        <s v="06"/>
      </sharedItems>
    </cacheField>
    <cacheField name="MES NOMBRE" numFmtId="0">
      <sharedItems count="5">
        <s v="FEBRERO"/>
        <s v="MARZO"/>
        <s v="ABRIL"/>
        <s v="MAYO"/>
        <s v="JUNIO"/>
      </sharedItems>
    </cacheField>
    <cacheField name="ACTIVIDAD" numFmtId="0">
      <sharedItems count="26">
        <s v="Calistenia Edd"/>
        <s v="Calistenia Martin"/>
        <s v="Calistenia Agus"/>
        <s v="Calistenia Lazaro"/>
        <s v="Calistenia Paula"/>
        <s v="Boxeo y Kickboxing Mariano"/>
        <s v="Boxeo tito"/>
        <s v="MMA+BOXEO"/>
        <s v="Karate"/>
        <s v="Taekwondo"/>
        <s v="Tela"/>
        <s v="Lyra"/>
        <s v="Yoga y Yoga Columpio"/>
        <s v="Pole Sport"/>
        <s v="Acro Kids"/>
        <s v="Calistenia Kids"/>
        <s v="Movimiento Consciente"/>
        <s v="Cross Traning"/>
        <s v="Funcional"/>
        <s v="EFA"/>
        <s v="Personalizados Marco"/>
        <s v="Personalizados Lean"/>
        <s v="MMA "/>
        <s v="JIU JITSU"/>
        <s v="Nutricion"/>
        <s v="Calistenia / CALI KIDS  Agus"/>
      </sharedItems>
    </cacheField>
    <cacheField name="ACTIVIDAD GLOBAL" numFmtId="0">
      <sharedItems count="18">
        <s v="Calistenia"/>
        <s v="Boxeo"/>
        <s v="MMA+BOXEO"/>
        <s v="Karate"/>
        <s v="Taekwondo"/>
        <s v="Tela"/>
        <s v="Lyra"/>
        <s v="Yoga y Yoga Columpio"/>
        <s v="Pole Sport"/>
        <s v="Acro Kids"/>
        <s v="Movimiento Consciente"/>
        <s v="Cross Traning"/>
        <s v="Funcional"/>
        <s v="EFA"/>
        <s v="Personalizados"/>
        <s v="MMA "/>
        <s v="JIU JITSU"/>
        <s v="Nutricion"/>
      </sharedItems>
    </cacheField>
    <cacheField name="PROFESOR" numFmtId="0">
      <sharedItems count="11">
        <s v="Edd"/>
        <s v="Martin"/>
        <s v="Agus"/>
        <s v="Lazaro"/>
        <s v="Paula"/>
        <s v="Mariano"/>
        <s v="tito"/>
        <s v="–"/>
        <s v="Marco"/>
        <s v="Lean"/>
        <s v="JITSU" u="1"/>
      </sharedItems>
    </cacheField>
    <cacheField name="CANTIDAD DE ALUMNOS " numFmtId="0">
      <sharedItems containsString="0" containsBlank="1" containsNumber="1" containsInteger="1" minValue="0" maxValue="120"/>
    </cacheField>
    <cacheField name="OBSERVACIONES" numFmtId="0">
      <sharedItems containsBlank="1" count="7">
        <m/>
        <s v="pase flex nestor y mariano ESTE ULTIMO(1)"/>
        <s v="1 semestral  y 2 trimestral"/>
        <s v="5 VIEJOS 5 NUEVOS"/>
        <s v="ULTIMO MES"/>
        <s v="PASE TRIMESTRAL "/>
        <s v="PASE MENSU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x v="0"/>
    <d v="2025-02-01T00:00:00"/>
    <x v="0"/>
    <x v="0"/>
    <x v="0"/>
    <x v="0"/>
    <x v="0"/>
    <m/>
    <x v="0"/>
  </r>
  <r>
    <x v="0"/>
    <d v="2025-02-01T00:00:00"/>
    <x v="0"/>
    <x v="0"/>
    <x v="1"/>
    <x v="0"/>
    <x v="1"/>
    <m/>
    <x v="0"/>
  </r>
  <r>
    <x v="0"/>
    <d v="2025-02-01T00:00:00"/>
    <x v="0"/>
    <x v="0"/>
    <x v="2"/>
    <x v="0"/>
    <x v="2"/>
    <m/>
    <x v="0"/>
  </r>
  <r>
    <x v="0"/>
    <d v="2025-02-01T00:00:00"/>
    <x v="0"/>
    <x v="0"/>
    <x v="3"/>
    <x v="0"/>
    <x v="3"/>
    <m/>
    <x v="0"/>
  </r>
  <r>
    <x v="0"/>
    <d v="2025-02-01T00:00:00"/>
    <x v="0"/>
    <x v="0"/>
    <x v="4"/>
    <x v="0"/>
    <x v="4"/>
    <m/>
    <x v="0"/>
  </r>
  <r>
    <x v="0"/>
    <d v="2025-02-01T00:00:00"/>
    <x v="0"/>
    <x v="0"/>
    <x v="5"/>
    <x v="1"/>
    <x v="5"/>
    <m/>
    <x v="0"/>
  </r>
  <r>
    <x v="0"/>
    <d v="2025-02-01T00:00:00"/>
    <x v="0"/>
    <x v="0"/>
    <x v="6"/>
    <x v="1"/>
    <x v="6"/>
    <m/>
    <x v="0"/>
  </r>
  <r>
    <x v="0"/>
    <d v="2025-02-01T00:00:00"/>
    <x v="0"/>
    <x v="0"/>
    <x v="7"/>
    <x v="2"/>
    <x v="7"/>
    <m/>
    <x v="0"/>
  </r>
  <r>
    <x v="0"/>
    <d v="2025-02-01T00:00:00"/>
    <x v="0"/>
    <x v="0"/>
    <x v="8"/>
    <x v="3"/>
    <x v="7"/>
    <m/>
    <x v="0"/>
  </r>
  <r>
    <x v="0"/>
    <d v="2025-02-01T00:00:00"/>
    <x v="0"/>
    <x v="0"/>
    <x v="9"/>
    <x v="4"/>
    <x v="7"/>
    <m/>
    <x v="0"/>
  </r>
  <r>
    <x v="0"/>
    <d v="2025-02-01T00:00:00"/>
    <x v="0"/>
    <x v="0"/>
    <x v="10"/>
    <x v="5"/>
    <x v="7"/>
    <m/>
    <x v="0"/>
  </r>
  <r>
    <x v="0"/>
    <d v="2025-02-01T00:00:00"/>
    <x v="0"/>
    <x v="0"/>
    <x v="11"/>
    <x v="6"/>
    <x v="7"/>
    <m/>
    <x v="0"/>
  </r>
  <r>
    <x v="0"/>
    <d v="2025-02-01T00:00:00"/>
    <x v="0"/>
    <x v="0"/>
    <x v="12"/>
    <x v="7"/>
    <x v="7"/>
    <m/>
    <x v="0"/>
  </r>
  <r>
    <x v="0"/>
    <d v="2025-02-01T00:00:00"/>
    <x v="0"/>
    <x v="0"/>
    <x v="13"/>
    <x v="8"/>
    <x v="7"/>
    <m/>
    <x v="0"/>
  </r>
  <r>
    <x v="0"/>
    <d v="2025-02-01T00:00:00"/>
    <x v="0"/>
    <x v="0"/>
    <x v="14"/>
    <x v="9"/>
    <x v="7"/>
    <m/>
    <x v="0"/>
  </r>
  <r>
    <x v="0"/>
    <d v="2025-02-01T00:00:00"/>
    <x v="0"/>
    <x v="0"/>
    <x v="15"/>
    <x v="0"/>
    <x v="7"/>
    <m/>
    <x v="0"/>
  </r>
  <r>
    <x v="0"/>
    <d v="2025-02-01T00:00:00"/>
    <x v="0"/>
    <x v="0"/>
    <x v="16"/>
    <x v="10"/>
    <x v="7"/>
    <m/>
    <x v="0"/>
  </r>
  <r>
    <x v="0"/>
    <d v="2025-02-01T00:00:00"/>
    <x v="0"/>
    <x v="0"/>
    <x v="17"/>
    <x v="11"/>
    <x v="7"/>
    <m/>
    <x v="0"/>
  </r>
  <r>
    <x v="0"/>
    <d v="2025-02-01T00:00:00"/>
    <x v="0"/>
    <x v="0"/>
    <x v="18"/>
    <x v="12"/>
    <x v="7"/>
    <m/>
    <x v="0"/>
  </r>
  <r>
    <x v="0"/>
    <d v="2025-02-01T00:00:00"/>
    <x v="0"/>
    <x v="0"/>
    <x v="19"/>
    <x v="13"/>
    <x v="7"/>
    <m/>
    <x v="0"/>
  </r>
  <r>
    <x v="0"/>
    <d v="2025-02-01T00:00:00"/>
    <x v="0"/>
    <x v="0"/>
    <x v="20"/>
    <x v="14"/>
    <x v="8"/>
    <m/>
    <x v="0"/>
  </r>
  <r>
    <x v="0"/>
    <d v="2025-02-01T00:00:00"/>
    <x v="0"/>
    <x v="0"/>
    <x v="21"/>
    <x v="14"/>
    <x v="9"/>
    <m/>
    <x v="0"/>
  </r>
  <r>
    <x v="0"/>
    <d v="2025-03-01T00:00:00"/>
    <x v="1"/>
    <x v="1"/>
    <x v="0"/>
    <x v="0"/>
    <x v="0"/>
    <n v="13"/>
    <x v="0"/>
  </r>
  <r>
    <x v="0"/>
    <d v="2025-03-01T00:00:00"/>
    <x v="1"/>
    <x v="1"/>
    <x v="1"/>
    <x v="0"/>
    <x v="1"/>
    <n v="14"/>
    <x v="0"/>
  </r>
  <r>
    <x v="0"/>
    <d v="2025-03-01T00:00:00"/>
    <x v="1"/>
    <x v="1"/>
    <x v="2"/>
    <x v="0"/>
    <x v="2"/>
    <n v="17"/>
    <x v="0"/>
  </r>
  <r>
    <x v="0"/>
    <d v="2025-03-01T00:00:00"/>
    <x v="1"/>
    <x v="1"/>
    <x v="3"/>
    <x v="0"/>
    <x v="3"/>
    <n v="6"/>
    <x v="0"/>
  </r>
  <r>
    <x v="0"/>
    <d v="2025-03-01T00:00:00"/>
    <x v="1"/>
    <x v="1"/>
    <x v="4"/>
    <x v="0"/>
    <x v="4"/>
    <n v="3"/>
    <x v="0"/>
  </r>
  <r>
    <x v="0"/>
    <d v="2025-03-01T00:00:00"/>
    <x v="1"/>
    <x v="1"/>
    <x v="5"/>
    <x v="1"/>
    <x v="5"/>
    <n v="11"/>
    <x v="1"/>
  </r>
  <r>
    <x v="0"/>
    <d v="2025-03-01T00:00:00"/>
    <x v="1"/>
    <x v="1"/>
    <x v="6"/>
    <x v="1"/>
    <x v="6"/>
    <n v="8"/>
    <x v="0"/>
  </r>
  <r>
    <x v="0"/>
    <d v="2025-03-01T00:00:00"/>
    <x v="1"/>
    <x v="1"/>
    <x v="22"/>
    <x v="15"/>
    <x v="7"/>
    <n v="2"/>
    <x v="0"/>
  </r>
  <r>
    <x v="0"/>
    <d v="2025-03-01T00:00:00"/>
    <x v="1"/>
    <x v="1"/>
    <x v="8"/>
    <x v="3"/>
    <x v="7"/>
    <n v="0"/>
    <x v="0"/>
  </r>
  <r>
    <x v="0"/>
    <d v="2025-03-01T00:00:00"/>
    <x v="1"/>
    <x v="1"/>
    <x v="9"/>
    <x v="4"/>
    <x v="7"/>
    <n v="2"/>
    <x v="0"/>
  </r>
  <r>
    <x v="0"/>
    <d v="2025-03-01T00:00:00"/>
    <x v="1"/>
    <x v="1"/>
    <x v="10"/>
    <x v="5"/>
    <x v="7"/>
    <n v="3"/>
    <x v="0"/>
  </r>
  <r>
    <x v="0"/>
    <d v="2025-03-01T00:00:00"/>
    <x v="1"/>
    <x v="1"/>
    <x v="11"/>
    <x v="6"/>
    <x v="7"/>
    <n v="3"/>
    <x v="0"/>
  </r>
  <r>
    <x v="0"/>
    <d v="2025-03-01T00:00:00"/>
    <x v="1"/>
    <x v="1"/>
    <x v="12"/>
    <x v="7"/>
    <x v="7"/>
    <n v="0"/>
    <x v="0"/>
  </r>
  <r>
    <x v="0"/>
    <d v="2025-03-01T00:00:00"/>
    <x v="1"/>
    <x v="1"/>
    <x v="13"/>
    <x v="8"/>
    <x v="7"/>
    <n v="13"/>
    <x v="0"/>
  </r>
  <r>
    <x v="0"/>
    <d v="2025-03-01T00:00:00"/>
    <x v="1"/>
    <x v="1"/>
    <x v="14"/>
    <x v="9"/>
    <x v="7"/>
    <n v="3"/>
    <x v="0"/>
  </r>
  <r>
    <x v="0"/>
    <d v="2025-03-01T00:00:00"/>
    <x v="1"/>
    <x v="1"/>
    <x v="15"/>
    <x v="0"/>
    <x v="7"/>
    <n v="2"/>
    <x v="0"/>
  </r>
  <r>
    <x v="0"/>
    <d v="2025-03-01T00:00:00"/>
    <x v="1"/>
    <x v="1"/>
    <x v="16"/>
    <x v="10"/>
    <x v="7"/>
    <n v="1"/>
    <x v="0"/>
  </r>
  <r>
    <x v="0"/>
    <d v="2025-03-01T00:00:00"/>
    <x v="1"/>
    <x v="1"/>
    <x v="17"/>
    <x v="11"/>
    <x v="7"/>
    <n v="3"/>
    <x v="0"/>
  </r>
  <r>
    <x v="0"/>
    <d v="2025-03-01T00:00:00"/>
    <x v="1"/>
    <x v="1"/>
    <x v="18"/>
    <x v="12"/>
    <x v="7"/>
    <n v="23"/>
    <x v="2"/>
  </r>
  <r>
    <x v="0"/>
    <d v="2025-03-01T00:00:00"/>
    <x v="1"/>
    <x v="1"/>
    <x v="19"/>
    <x v="13"/>
    <x v="7"/>
    <n v="3"/>
    <x v="0"/>
  </r>
  <r>
    <x v="0"/>
    <d v="2025-03-01T00:00:00"/>
    <x v="1"/>
    <x v="1"/>
    <x v="20"/>
    <x v="14"/>
    <x v="8"/>
    <n v="10"/>
    <x v="3"/>
  </r>
  <r>
    <x v="0"/>
    <d v="2025-03-01T00:00:00"/>
    <x v="1"/>
    <x v="1"/>
    <x v="21"/>
    <x v="14"/>
    <x v="9"/>
    <n v="1"/>
    <x v="0"/>
  </r>
  <r>
    <x v="0"/>
    <d v="2025-04-01T00:00:00"/>
    <x v="2"/>
    <x v="2"/>
    <x v="0"/>
    <x v="0"/>
    <x v="0"/>
    <n v="30"/>
    <x v="0"/>
  </r>
  <r>
    <x v="0"/>
    <d v="2025-04-01T00:00:00"/>
    <x v="2"/>
    <x v="2"/>
    <x v="1"/>
    <x v="0"/>
    <x v="1"/>
    <n v="26"/>
    <x v="0"/>
  </r>
  <r>
    <x v="0"/>
    <d v="2025-04-01T00:00:00"/>
    <x v="2"/>
    <x v="2"/>
    <x v="2"/>
    <x v="0"/>
    <x v="2"/>
    <n v="14"/>
    <x v="0"/>
  </r>
  <r>
    <x v="0"/>
    <d v="2025-04-01T00:00:00"/>
    <x v="2"/>
    <x v="2"/>
    <x v="3"/>
    <x v="0"/>
    <x v="3"/>
    <n v="14"/>
    <x v="0"/>
  </r>
  <r>
    <x v="0"/>
    <d v="2025-04-01T00:00:00"/>
    <x v="2"/>
    <x v="2"/>
    <x v="4"/>
    <x v="0"/>
    <x v="4"/>
    <n v="5"/>
    <x v="0"/>
  </r>
  <r>
    <x v="0"/>
    <d v="2025-04-01T00:00:00"/>
    <x v="2"/>
    <x v="2"/>
    <x v="5"/>
    <x v="1"/>
    <x v="5"/>
    <n v="39"/>
    <x v="0"/>
  </r>
  <r>
    <x v="0"/>
    <d v="2025-04-01T00:00:00"/>
    <x v="2"/>
    <x v="2"/>
    <x v="6"/>
    <x v="1"/>
    <x v="6"/>
    <n v="21"/>
    <x v="0"/>
  </r>
  <r>
    <x v="0"/>
    <d v="2025-04-01T00:00:00"/>
    <x v="2"/>
    <x v="2"/>
    <x v="22"/>
    <x v="15"/>
    <x v="7"/>
    <n v="9"/>
    <x v="0"/>
  </r>
  <r>
    <x v="0"/>
    <d v="2025-04-01T00:00:00"/>
    <x v="2"/>
    <x v="2"/>
    <x v="8"/>
    <x v="3"/>
    <x v="7"/>
    <n v="1"/>
    <x v="0"/>
  </r>
  <r>
    <x v="0"/>
    <d v="2025-04-01T00:00:00"/>
    <x v="2"/>
    <x v="2"/>
    <x v="23"/>
    <x v="16"/>
    <x v="7"/>
    <n v="7"/>
    <x v="0"/>
  </r>
  <r>
    <x v="0"/>
    <d v="2025-04-01T00:00:00"/>
    <x v="2"/>
    <x v="2"/>
    <x v="10"/>
    <x v="5"/>
    <x v="7"/>
    <n v="6"/>
    <x v="0"/>
  </r>
  <r>
    <x v="0"/>
    <d v="2025-04-01T00:00:00"/>
    <x v="2"/>
    <x v="2"/>
    <x v="11"/>
    <x v="6"/>
    <x v="7"/>
    <n v="8"/>
    <x v="0"/>
  </r>
  <r>
    <x v="0"/>
    <d v="2025-04-01T00:00:00"/>
    <x v="2"/>
    <x v="2"/>
    <x v="12"/>
    <x v="7"/>
    <x v="7"/>
    <n v="4"/>
    <x v="0"/>
  </r>
  <r>
    <x v="0"/>
    <d v="2025-04-01T00:00:00"/>
    <x v="2"/>
    <x v="2"/>
    <x v="13"/>
    <x v="8"/>
    <x v="7"/>
    <n v="18"/>
    <x v="0"/>
  </r>
  <r>
    <x v="0"/>
    <d v="2025-04-01T00:00:00"/>
    <x v="2"/>
    <x v="2"/>
    <x v="14"/>
    <x v="9"/>
    <x v="7"/>
    <n v="5"/>
    <x v="0"/>
  </r>
  <r>
    <x v="0"/>
    <d v="2025-04-01T00:00:00"/>
    <x v="2"/>
    <x v="2"/>
    <x v="15"/>
    <x v="0"/>
    <x v="7"/>
    <n v="5"/>
    <x v="0"/>
  </r>
  <r>
    <x v="0"/>
    <d v="2025-04-01T00:00:00"/>
    <x v="2"/>
    <x v="2"/>
    <x v="16"/>
    <x v="10"/>
    <x v="7"/>
    <n v="6"/>
    <x v="0"/>
  </r>
  <r>
    <x v="0"/>
    <d v="2025-04-01T00:00:00"/>
    <x v="2"/>
    <x v="2"/>
    <x v="17"/>
    <x v="11"/>
    <x v="7"/>
    <n v="4"/>
    <x v="0"/>
  </r>
  <r>
    <x v="0"/>
    <d v="2025-04-01T00:00:00"/>
    <x v="2"/>
    <x v="2"/>
    <x v="18"/>
    <x v="12"/>
    <x v="7"/>
    <n v="91"/>
    <x v="0"/>
  </r>
  <r>
    <x v="0"/>
    <d v="2025-04-01T00:00:00"/>
    <x v="2"/>
    <x v="2"/>
    <x v="19"/>
    <x v="13"/>
    <x v="7"/>
    <n v="13"/>
    <x v="0"/>
  </r>
  <r>
    <x v="0"/>
    <d v="2025-04-01T00:00:00"/>
    <x v="2"/>
    <x v="2"/>
    <x v="20"/>
    <x v="14"/>
    <x v="8"/>
    <n v="20"/>
    <x v="0"/>
  </r>
  <r>
    <x v="0"/>
    <d v="2025-04-01T00:00:00"/>
    <x v="2"/>
    <x v="2"/>
    <x v="21"/>
    <x v="14"/>
    <x v="9"/>
    <n v="0"/>
    <x v="0"/>
  </r>
  <r>
    <x v="0"/>
    <d v="2025-04-01T00:00:00"/>
    <x v="2"/>
    <x v="2"/>
    <x v="24"/>
    <x v="17"/>
    <x v="7"/>
    <m/>
    <x v="0"/>
  </r>
  <r>
    <x v="0"/>
    <d v="2025-05-01T00:00:00"/>
    <x v="3"/>
    <x v="3"/>
    <x v="0"/>
    <x v="0"/>
    <x v="0"/>
    <n v="26"/>
    <x v="0"/>
  </r>
  <r>
    <x v="0"/>
    <d v="2025-05-01T00:00:00"/>
    <x v="3"/>
    <x v="3"/>
    <x v="1"/>
    <x v="0"/>
    <x v="1"/>
    <n v="38"/>
    <x v="0"/>
  </r>
  <r>
    <x v="0"/>
    <d v="2025-05-01T00:00:00"/>
    <x v="3"/>
    <x v="3"/>
    <x v="25"/>
    <x v="0"/>
    <x v="2"/>
    <n v="20"/>
    <x v="0"/>
  </r>
  <r>
    <x v="0"/>
    <d v="2025-05-01T00:00:00"/>
    <x v="3"/>
    <x v="3"/>
    <x v="3"/>
    <x v="0"/>
    <x v="3"/>
    <n v="16"/>
    <x v="0"/>
  </r>
  <r>
    <x v="0"/>
    <d v="2025-05-01T00:00:00"/>
    <x v="3"/>
    <x v="3"/>
    <x v="4"/>
    <x v="0"/>
    <x v="4"/>
    <n v="9"/>
    <x v="0"/>
  </r>
  <r>
    <x v="0"/>
    <d v="2025-05-01T00:00:00"/>
    <x v="3"/>
    <x v="3"/>
    <x v="5"/>
    <x v="1"/>
    <x v="5"/>
    <n v="32"/>
    <x v="0"/>
  </r>
  <r>
    <x v="0"/>
    <d v="2025-05-01T00:00:00"/>
    <x v="3"/>
    <x v="3"/>
    <x v="6"/>
    <x v="1"/>
    <x v="6"/>
    <n v="17"/>
    <x v="0"/>
  </r>
  <r>
    <x v="0"/>
    <d v="2025-05-01T00:00:00"/>
    <x v="3"/>
    <x v="3"/>
    <x v="22"/>
    <x v="15"/>
    <x v="7"/>
    <n v="7"/>
    <x v="0"/>
  </r>
  <r>
    <x v="0"/>
    <d v="2025-05-01T00:00:00"/>
    <x v="3"/>
    <x v="3"/>
    <x v="8"/>
    <x v="3"/>
    <x v="7"/>
    <n v="2"/>
    <x v="0"/>
  </r>
  <r>
    <x v="0"/>
    <d v="2025-05-01T00:00:00"/>
    <x v="3"/>
    <x v="3"/>
    <x v="10"/>
    <x v="5"/>
    <x v="7"/>
    <n v="3"/>
    <x v="0"/>
  </r>
  <r>
    <x v="0"/>
    <d v="2025-05-01T00:00:00"/>
    <x v="3"/>
    <x v="3"/>
    <x v="11"/>
    <x v="6"/>
    <x v="7"/>
    <n v="7"/>
    <x v="0"/>
  </r>
  <r>
    <x v="0"/>
    <d v="2025-05-01T00:00:00"/>
    <x v="3"/>
    <x v="3"/>
    <x v="12"/>
    <x v="7"/>
    <x v="7"/>
    <n v="2"/>
    <x v="0"/>
  </r>
  <r>
    <x v="0"/>
    <d v="2025-05-01T00:00:00"/>
    <x v="3"/>
    <x v="3"/>
    <x v="13"/>
    <x v="8"/>
    <x v="7"/>
    <n v="15"/>
    <x v="0"/>
  </r>
  <r>
    <x v="0"/>
    <d v="2025-05-01T00:00:00"/>
    <x v="3"/>
    <x v="3"/>
    <x v="14"/>
    <x v="9"/>
    <x v="7"/>
    <n v="6"/>
    <x v="0"/>
  </r>
  <r>
    <x v="0"/>
    <d v="2025-05-01T00:00:00"/>
    <x v="3"/>
    <x v="3"/>
    <x v="15"/>
    <x v="0"/>
    <x v="7"/>
    <m/>
    <x v="0"/>
  </r>
  <r>
    <x v="0"/>
    <d v="2025-05-01T00:00:00"/>
    <x v="3"/>
    <x v="3"/>
    <x v="16"/>
    <x v="10"/>
    <x v="7"/>
    <n v="4"/>
    <x v="0"/>
  </r>
  <r>
    <x v="0"/>
    <d v="2025-05-01T00:00:00"/>
    <x v="3"/>
    <x v="3"/>
    <x v="17"/>
    <x v="11"/>
    <x v="7"/>
    <n v="2"/>
    <x v="0"/>
  </r>
  <r>
    <x v="0"/>
    <d v="2025-05-01T00:00:00"/>
    <x v="3"/>
    <x v="3"/>
    <x v="18"/>
    <x v="12"/>
    <x v="7"/>
    <n v="74"/>
    <x v="0"/>
  </r>
  <r>
    <x v="0"/>
    <d v="2025-05-01T00:00:00"/>
    <x v="3"/>
    <x v="3"/>
    <x v="19"/>
    <x v="13"/>
    <x v="7"/>
    <n v="18"/>
    <x v="0"/>
  </r>
  <r>
    <x v="0"/>
    <d v="2025-06-01T00:00:00"/>
    <x v="4"/>
    <x v="4"/>
    <x v="0"/>
    <x v="0"/>
    <x v="0"/>
    <m/>
    <x v="0"/>
  </r>
  <r>
    <x v="0"/>
    <d v="2025-06-01T00:00:00"/>
    <x v="4"/>
    <x v="4"/>
    <x v="1"/>
    <x v="0"/>
    <x v="1"/>
    <m/>
    <x v="0"/>
  </r>
  <r>
    <x v="0"/>
    <d v="2025-06-01T00:00:00"/>
    <x v="4"/>
    <x v="4"/>
    <x v="2"/>
    <x v="0"/>
    <x v="2"/>
    <m/>
    <x v="0"/>
  </r>
  <r>
    <x v="0"/>
    <d v="2025-06-01T00:00:00"/>
    <x v="4"/>
    <x v="4"/>
    <x v="3"/>
    <x v="0"/>
    <x v="3"/>
    <m/>
    <x v="0"/>
  </r>
  <r>
    <x v="0"/>
    <d v="2025-06-01T00:00:00"/>
    <x v="4"/>
    <x v="4"/>
    <x v="4"/>
    <x v="0"/>
    <x v="4"/>
    <m/>
    <x v="0"/>
  </r>
  <r>
    <x v="0"/>
    <d v="2025-06-01T00:00:00"/>
    <x v="4"/>
    <x v="4"/>
    <x v="5"/>
    <x v="1"/>
    <x v="5"/>
    <m/>
    <x v="0"/>
  </r>
  <r>
    <x v="0"/>
    <d v="2025-06-01T00:00:00"/>
    <x v="4"/>
    <x v="4"/>
    <x v="6"/>
    <x v="1"/>
    <x v="6"/>
    <m/>
    <x v="0"/>
  </r>
  <r>
    <x v="0"/>
    <d v="2025-06-01T00:00:00"/>
    <x v="4"/>
    <x v="4"/>
    <x v="22"/>
    <x v="15"/>
    <x v="7"/>
    <m/>
    <x v="0"/>
  </r>
  <r>
    <x v="0"/>
    <d v="2025-06-01T00:00:00"/>
    <x v="4"/>
    <x v="4"/>
    <x v="8"/>
    <x v="3"/>
    <x v="7"/>
    <m/>
    <x v="0"/>
  </r>
  <r>
    <x v="0"/>
    <d v="2025-06-01T00:00:00"/>
    <x v="4"/>
    <x v="4"/>
    <x v="9"/>
    <x v="4"/>
    <x v="7"/>
    <m/>
    <x v="0"/>
  </r>
  <r>
    <x v="0"/>
    <d v="2025-06-01T00:00:00"/>
    <x v="4"/>
    <x v="4"/>
    <x v="10"/>
    <x v="5"/>
    <x v="7"/>
    <m/>
    <x v="0"/>
  </r>
  <r>
    <x v="0"/>
    <d v="2025-06-01T00:00:00"/>
    <x v="4"/>
    <x v="4"/>
    <x v="11"/>
    <x v="6"/>
    <x v="7"/>
    <m/>
    <x v="0"/>
  </r>
  <r>
    <x v="0"/>
    <d v="2025-06-01T00:00:00"/>
    <x v="4"/>
    <x v="4"/>
    <x v="12"/>
    <x v="7"/>
    <x v="7"/>
    <m/>
    <x v="0"/>
  </r>
  <r>
    <x v="0"/>
    <d v="2025-06-01T00:00:00"/>
    <x v="4"/>
    <x v="4"/>
    <x v="13"/>
    <x v="8"/>
    <x v="7"/>
    <m/>
    <x v="0"/>
  </r>
  <r>
    <x v="0"/>
    <d v="2025-06-01T00:00:00"/>
    <x v="4"/>
    <x v="4"/>
    <x v="14"/>
    <x v="9"/>
    <x v="7"/>
    <m/>
    <x v="0"/>
  </r>
  <r>
    <x v="0"/>
    <d v="2025-06-01T00:00:00"/>
    <x v="4"/>
    <x v="4"/>
    <x v="15"/>
    <x v="0"/>
    <x v="7"/>
    <m/>
    <x v="0"/>
  </r>
  <r>
    <x v="0"/>
    <d v="2025-06-01T00:00:00"/>
    <x v="4"/>
    <x v="4"/>
    <x v="16"/>
    <x v="10"/>
    <x v="7"/>
    <m/>
    <x v="0"/>
  </r>
  <r>
    <x v="0"/>
    <d v="2025-06-01T00:00:00"/>
    <x v="4"/>
    <x v="4"/>
    <x v="17"/>
    <x v="11"/>
    <x v="7"/>
    <m/>
    <x v="0"/>
  </r>
  <r>
    <x v="0"/>
    <d v="2025-06-01T00:00:00"/>
    <x v="4"/>
    <x v="4"/>
    <x v="18"/>
    <x v="12"/>
    <x v="7"/>
    <m/>
    <x v="0"/>
  </r>
  <r>
    <x v="0"/>
    <d v="2025-06-01T00:00:00"/>
    <x v="4"/>
    <x v="4"/>
    <x v="19"/>
    <x v="13"/>
    <x v="7"/>
    <m/>
    <x v="0"/>
  </r>
  <r>
    <x v="0"/>
    <d v="2025-06-01T00:00:00"/>
    <x v="4"/>
    <x v="4"/>
    <x v="20"/>
    <x v="14"/>
    <x v="8"/>
    <m/>
    <x v="0"/>
  </r>
  <r>
    <x v="0"/>
    <d v="2025-06-01T00:00:00"/>
    <x v="4"/>
    <x v="4"/>
    <x v="21"/>
    <x v="14"/>
    <x v="9"/>
    <m/>
    <x v="0"/>
  </r>
  <r>
    <x v="0"/>
    <d v="2025-06-01T00:00:00"/>
    <x v="4"/>
    <x v="4"/>
    <x v="24"/>
    <x v="17"/>
    <x v="7"/>
    <m/>
    <x v="0"/>
  </r>
  <r>
    <x v="1"/>
    <d v="2025-02-01T00:00:00"/>
    <x v="0"/>
    <x v="0"/>
    <x v="0"/>
    <x v="0"/>
    <x v="0"/>
    <m/>
    <x v="0"/>
  </r>
  <r>
    <x v="1"/>
    <d v="2025-02-01T00:00:00"/>
    <x v="0"/>
    <x v="0"/>
    <x v="1"/>
    <x v="0"/>
    <x v="1"/>
    <m/>
    <x v="0"/>
  </r>
  <r>
    <x v="1"/>
    <d v="2025-02-01T00:00:00"/>
    <x v="0"/>
    <x v="0"/>
    <x v="2"/>
    <x v="0"/>
    <x v="2"/>
    <m/>
    <x v="0"/>
  </r>
  <r>
    <x v="1"/>
    <d v="2025-02-01T00:00:00"/>
    <x v="0"/>
    <x v="0"/>
    <x v="3"/>
    <x v="0"/>
    <x v="3"/>
    <m/>
    <x v="0"/>
  </r>
  <r>
    <x v="1"/>
    <d v="2025-02-01T00:00:00"/>
    <x v="0"/>
    <x v="0"/>
    <x v="4"/>
    <x v="0"/>
    <x v="4"/>
    <m/>
    <x v="0"/>
  </r>
  <r>
    <x v="1"/>
    <d v="2025-02-01T00:00:00"/>
    <x v="0"/>
    <x v="0"/>
    <x v="5"/>
    <x v="1"/>
    <x v="5"/>
    <m/>
    <x v="0"/>
  </r>
  <r>
    <x v="1"/>
    <d v="2025-02-01T00:00:00"/>
    <x v="0"/>
    <x v="0"/>
    <x v="6"/>
    <x v="1"/>
    <x v="6"/>
    <m/>
    <x v="0"/>
  </r>
  <r>
    <x v="1"/>
    <d v="2025-02-01T00:00:00"/>
    <x v="0"/>
    <x v="0"/>
    <x v="7"/>
    <x v="2"/>
    <x v="7"/>
    <m/>
    <x v="0"/>
  </r>
  <r>
    <x v="1"/>
    <d v="2025-02-01T00:00:00"/>
    <x v="0"/>
    <x v="0"/>
    <x v="8"/>
    <x v="3"/>
    <x v="7"/>
    <m/>
    <x v="0"/>
  </r>
  <r>
    <x v="1"/>
    <d v="2025-02-01T00:00:00"/>
    <x v="0"/>
    <x v="0"/>
    <x v="9"/>
    <x v="4"/>
    <x v="7"/>
    <m/>
    <x v="0"/>
  </r>
  <r>
    <x v="1"/>
    <d v="2025-02-01T00:00:00"/>
    <x v="0"/>
    <x v="0"/>
    <x v="10"/>
    <x v="5"/>
    <x v="7"/>
    <m/>
    <x v="0"/>
  </r>
  <r>
    <x v="1"/>
    <d v="2025-02-01T00:00:00"/>
    <x v="0"/>
    <x v="0"/>
    <x v="11"/>
    <x v="6"/>
    <x v="7"/>
    <m/>
    <x v="0"/>
  </r>
  <r>
    <x v="1"/>
    <d v="2025-02-01T00:00:00"/>
    <x v="0"/>
    <x v="0"/>
    <x v="12"/>
    <x v="7"/>
    <x v="7"/>
    <m/>
    <x v="0"/>
  </r>
  <r>
    <x v="1"/>
    <d v="2025-02-01T00:00:00"/>
    <x v="0"/>
    <x v="0"/>
    <x v="13"/>
    <x v="8"/>
    <x v="7"/>
    <m/>
    <x v="0"/>
  </r>
  <r>
    <x v="1"/>
    <d v="2025-02-01T00:00:00"/>
    <x v="0"/>
    <x v="0"/>
    <x v="14"/>
    <x v="9"/>
    <x v="7"/>
    <m/>
    <x v="0"/>
  </r>
  <r>
    <x v="1"/>
    <d v="2025-02-01T00:00:00"/>
    <x v="0"/>
    <x v="0"/>
    <x v="15"/>
    <x v="0"/>
    <x v="7"/>
    <m/>
    <x v="0"/>
  </r>
  <r>
    <x v="1"/>
    <d v="2025-02-01T00:00:00"/>
    <x v="0"/>
    <x v="0"/>
    <x v="16"/>
    <x v="10"/>
    <x v="7"/>
    <m/>
    <x v="0"/>
  </r>
  <r>
    <x v="1"/>
    <d v="2025-02-01T00:00:00"/>
    <x v="0"/>
    <x v="0"/>
    <x v="17"/>
    <x v="11"/>
    <x v="7"/>
    <m/>
    <x v="0"/>
  </r>
  <r>
    <x v="1"/>
    <d v="2025-02-01T00:00:00"/>
    <x v="0"/>
    <x v="0"/>
    <x v="18"/>
    <x v="12"/>
    <x v="7"/>
    <m/>
    <x v="0"/>
  </r>
  <r>
    <x v="1"/>
    <d v="2025-02-01T00:00:00"/>
    <x v="0"/>
    <x v="0"/>
    <x v="19"/>
    <x v="13"/>
    <x v="7"/>
    <m/>
    <x v="0"/>
  </r>
  <r>
    <x v="1"/>
    <d v="2025-02-01T00:00:00"/>
    <x v="0"/>
    <x v="0"/>
    <x v="20"/>
    <x v="14"/>
    <x v="8"/>
    <m/>
    <x v="0"/>
  </r>
  <r>
    <x v="1"/>
    <d v="2025-02-01T00:00:00"/>
    <x v="0"/>
    <x v="0"/>
    <x v="21"/>
    <x v="14"/>
    <x v="9"/>
    <m/>
    <x v="0"/>
  </r>
  <r>
    <x v="1"/>
    <d v="2025-03-01T00:00:00"/>
    <x v="1"/>
    <x v="1"/>
    <x v="0"/>
    <x v="0"/>
    <x v="0"/>
    <n v="38"/>
    <x v="0"/>
  </r>
  <r>
    <x v="1"/>
    <d v="2025-03-01T00:00:00"/>
    <x v="1"/>
    <x v="1"/>
    <x v="1"/>
    <x v="0"/>
    <x v="1"/>
    <n v="39"/>
    <x v="0"/>
  </r>
  <r>
    <x v="1"/>
    <d v="2025-03-01T00:00:00"/>
    <x v="1"/>
    <x v="1"/>
    <x v="2"/>
    <x v="0"/>
    <x v="2"/>
    <n v="22"/>
    <x v="0"/>
  </r>
  <r>
    <x v="1"/>
    <d v="2025-03-01T00:00:00"/>
    <x v="1"/>
    <x v="1"/>
    <x v="3"/>
    <x v="0"/>
    <x v="3"/>
    <n v="15"/>
    <x v="0"/>
  </r>
  <r>
    <x v="1"/>
    <d v="2025-03-01T00:00:00"/>
    <x v="1"/>
    <x v="1"/>
    <x v="4"/>
    <x v="0"/>
    <x v="4"/>
    <n v="7"/>
    <x v="0"/>
  </r>
  <r>
    <x v="1"/>
    <d v="2025-03-01T00:00:00"/>
    <x v="1"/>
    <x v="1"/>
    <x v="5"/>
    <x v="1"/>
    <x v="5"/>
    <n v="37"/>
    <x v="0"/>
  </r>
  <r>
    <x v="1"/>
    <d v="2025-03-01T00:00:00"/>
    <x v="1"/>
    <x v="1"/>
    <x v="6"/>
    <x v="1"/>
    <x v="6"/>
    <n v="24"/>
    <x v="0"/>
  </r>
  <r>
    <x v="1"/>
    <d v="2025-03-01T00:00:00"/>
    <x v="1"/>
    <x v="1"/>
    <x v="7"/>
    <x v="2"/>
    <x v="7"/>
    <n v="8"/>
    <x v="0"/>
  </r>
  <r>
    <x v="1"/>
    <d v="2025-03-01T00:00:00"/>
    <x v="1"/>
    <x v="1"/>
    <x v="8"/>
    <x v="3"/>
    <x v="7"/>
    <n v="2"/>
    <x v="0"/>
  </r>
  <r>
    <x v="1"/>
    <d v="2025-03-01T00:00:00"/>
    <x v="1"/>
    <x v="1"/>
    <x v="10"/>
    <x v="5"/>
    <x v="7"/>
    <n v="4"/>
    <x v="0"/>
  </r>
  <r>
    <x v="1"/>
    <d v="2025-03-01T00:00:00"/>
    <x v="1"/>
    <x v="1"/>
    <x v="11"/>
    <x v="6"/>
    <x v="7"/>
    <n v="9"/>
    <x v="0"/>
  </r>
  <r>
    <x v="1"/>
    <d v="2025-03-01T00:00:00"/>
    <x v="1"/>
    <x v="1"/>
    <x v="12"/>
    <x v="7"/>
    <x v="7"/>
    <n v="3"/>
    <x v="0"/>
  </r>
  <r>
    <x v="1"/>
    <d v="2025-03-01T00:00:00"/>
    <x v="1"/>
    <x v="1"/>
    <x v="13"/>
    <x v="8"/>
    <x v="7"/>
    <n v="29"/>
    <x v="0"/>
  </r>
  <r>
    <x v="1"/>
    <d v="2025-03-01T00:00:00"/>
    <x v="1"/>
    <x v="1"/>
    <x v="14"/>
    <x v="9"/>
    <x v="7"/>
    <n v="10"/>
    <x v="0"/>
  </r>
  <r>
    <x v="1"/>
    <d v="2025-03-01T00:00:00"/>
    <x v="1"/>
    <x v="1"/>
    <x v="15"/>
    <x v="0"/>
    <x v="7"/>
    <n v="4"/>
    <x v="0"/>
  </r>
  <r>
    <x v="1"/>
    <d v="2025-03-01T00:00:00"/>
    <x v="1"/>
    <x v="1"/>
    <x v="16"/>
    <x v="10"/>
    <x v="7"/>
    <n v="2"/>
    <x v="0"/>
  </r>
  <r>
    <x v="1"/>
    <d v="2025-03-01T00:00:00"/>
    <x v="1"/>
    <x v="1"/>
    <x v="17"/>
    <x v="11"/>
    <x v="7"/>
    <n v="4"/>
    <x v="0"/>
  </r>
  <r>
    <x v="1"/>
    <d v="2025-03-01T00:00:00"/>
    <x v="1"/>
    <x v="1"/>
    <x v="18"/>
    <x v="12"/>
    <x v="7"/>
    <n v="120"/>
    <x v="0"/>
  </r>
  <r>
    <x v="1"/>
    <d v="2025-03-01T00:00:00"/>
    <x v="1"/>
    <x v="1"/>
    <x v="19"/>
    <x v="13"/>
    <x v="7"/>
    <n v="12"/>
    <x v="0"/>
  </r>
  <r>
    <x v="1"/>
    <d v="2025-03-01T00:00:00"/>
    <x v="1"/>
    <x v="1"/>
    <x v="20"/>
    <x v="14"/>
    <x v="8"/>
    <n v="18"/>
    <x v="0"/>
  </r>
  <r>
    <x v="1"/>
    <d v="2025-03-01T00:00:00"/>
    <x v="1"/>
    <x v="1"/>
    <x v="21"/>
    <x v="14"/>
    <x v="9"/>
    <n v="3"/>
    <x v="0"/>
  </r>
  <r>
    <x v="1"/>
    <d v="2025-04-01T00:00:00"/>
    <x v="2"/>
    <x v="2"/>
    <x v="0"/>
    <x v="0"/>
    <x v="0"/>
    <m/>
    <x v="0"/>
  </r>
  <r>
    <x v="1"/>
    <d v="2025-04-01T00:00:00"/>
    <x v="2"/>
    <x v="2"/>
    <x v="1"/>
    <x v="0"/>
    <x v="1"/>
    <m/>
    <x v="0"/>
  </r>
  <r>
    <x v="1"/>
    <d v="2025-04-01T00:00:00"/>
    <x v="2"/>
    <x v="2"/>
    <x v="2"/>
    <x v="0"/>
    <x v="2"/>
    <m/>
    <x v="0"/>
  </r>
  <r>
    <x v="1"/>
    <d v="2025-04-01T00:00:00"/>
    <x v="2"/>
    <x v="2"/>
    <x v="3"/>
    <x v="0"/>
    <x v="3"/>
    <m/>
    <x v="0"/>
  </r>
  <r>
    <x v="1"/>
    <d v="2025-04-01T00:00:00"/>
    <x v="2"/>
    <x v="2"/>
    <x v="4"/>
    <x v="0"/>
    <x v="4"/>
    <m/>
    <x v="0"/>
  </r>
  <r>
    <x v="1"/>
    <d v="2025-04-01T00:00:00"/>
    <x v="2"/>
    <x v="2"/>
    <x v="5"/>
    <x v="1"/>
    <x v="5"/>
    <m/>
    <x v="0"/>
  </r>
  <r>
    <x v="1"/>
    <d v="2025-04-01T00:00:00"/>
    <x v="2"/>
    <x v="2"/>
    <x v="6"/>
    <x v="1"/>
    <x v="6"/>
    <m/>
    <x v="0"/>
  </r>
  <r>
    <x v="1"/>
    <d v="2025-04-01T00:00:00"/>
    <x v="2"/>
    <x v="2"/>
    <x v="22"/>
    <x v="15"/>
    <x v="7"/>
    <m/>
    <x v="0"/>
  </r>
  <r>
    <x v="1"/>
    <d v="2025-04-01T00:00:00"/>
    <x v="2"/>
    <x v="2"/>
    <x v="8"/>
    <x v="3"/>
    <x v="7"/>
    <m/>
    <x v="0"/>
  </r>
  <r>
    <x v="1"/>
    <d v="2025-04-01T00:00:00"/>
    <x v="2"/>
    <x v="2"/>
    <x v="23"/>
    <x v="16"/>
    <x v="7"/>
    <m/>
    <x v="0"/>
  </r>
  <r>
    <x v="1"/>
    <d v="2025-04-01T00:00:00"/>
    <x v="2"/>
    <x v="2"/>
    <x v="10"/>
    <x v="5"/>
    <x v="7"/>
    <m/>
    <x v="0"/>
  </r>
  <r>
    <x v="1"/>
    <d v="2025-04-01T00:00:00"/>
    <x v="2"/>
    <x v="2"/>
    <x v="11"/>
    <x v="6"/>
    <x v="7"/>
    <m/>
    <x v="0"/>
  </r>
  <r>
    <x v="1"/>
    <d v="2025-04-01T00:00:00"/>
    <x v="2"/>
    <x v="2"/>
    <x v="12"/>
    <x v="7"/>
    <x v="7"/>
    <m/>
    <x v="0"/>
  </r>
  <r>
    <x v="1"/>
    <d v="2025-04-01T00:00:00"/>
    <x v="2"/>
    <x v="2"/>
    <x v="13"/>
    <x v="8"/>
    <x v="7"/>
    <m/>
    <x v="0"/>
  </r>
  <r>
    <x v="1"/>
    <d v="2025-04-01T00:00:00"/>
    <x v="2"/>
    <x v="2"/>
    <x v="14"/>
    <x v="9"/>
    <x v="7"/>
    <m/>
    <x v="0"/>
  </r>
  <r>
    <x v="1"/>
    <d v="2025-04-01T00:00:00"/>
    <x v="2"/>
    <x v="2"/>
    <x v="15"/>
    <x v="0"/>
    <x v="7"/>
    <m/>
    <x v="0"/>
  </r>
  <r>
    <x v="1"/>
    <d v="2025-04-01T00:00:00"/>
    <x v="2"/>
    <x v="2"/>
    <x v="16"/>
    <x v="10"/>
    <x v="7"/>
    <m/>
    <x v="0"/>
  </r>
  <r>
    <x v="1"/>
    <d v="2025-04-01T00:00:00"/>
    <x v="2"/>
    <x v="2"/>
    <x v="17"/>
    <x v="11"/>
    <x v="7"/>
    <m/>
    <x v="0"/>
  </r>
  <r>
    <x v="1"/>
    <d v="2025-04-01T00:00:00"/>
    <x v="2"/>
    <x v="2"/>
    <x v="18"/>
    <x v="12"/>
    <x v="7"/>
    <m/>
    <x v="0"/>
  </r>
  <r>
    <x v="1"/>
    <d v="2025-04-01T00:00:00"/>
    <x v="2"/>
    <x v="2"/>
    <x v="19"/>
    <x v="13"/>
    <x v="7"/>
    <m/>
    <x v="0"/>
  </r>
  <r>
    <x v="1"/>
    <d v="2025-04-01T00:00:00"/>
    <x v="2"/>
    <x v="2"/>
    <x v="20"/>
    <x v="14"/>
    <x v="8"/>
    <m/>
    <x v="0"/>
  </r>
  <r>
    <x v="1"/>
    <d v="2025-04-01T00:00:00"/>
    <x v="2"/>
    <x v="2"/>
    <x v="21"/>
    <x v="14"/>
    <x v="9"/>
    <m/>
    <x v="0"/>
  </r>
  <r>
    <x v="1"/>
    <d v="2025-04-01T00:00:00"/>
    <x v="2"/>
    <x v="2"/>
    <x v="24"/>
    <x v="17"/>
    <x v="7"/>
    <m/>
    <x v="0"/>
  </r>
  <r>
    <x v="1"/>
    <d v="2025-05-01T00:00:00"/>
    <x v="3"/>
    <x v="3"/>
    <x v="0"/>
    <x v="0"/>
    <x v="0"/>
    <m/>
    <x v="0"/>
  </r>
  <r>
    <x v="1"/>
    <d v="2025-05-01T00:00:00"/>
    <x v="3"/>
    <x v="3"/>
    <x v="1"/>
    <x v="0"/>
    <x v="1"/>
    <m/>
    <x v="0"/>
  </r>
  <r>
    <x v="1"/>
    <d v="2025-05-01T00:00:00"/>
    <x v="3"/>
    <x v="3"/>
    <x v="2"/>
    <x v="0"/>
    <x v="2"/>
    <m/>
    <x v="0"/>
  </r>
  <r>
    <x v="1"/>
    <d v="2025-05-01T00:00:00"/>
    <x v="3"/>
    <x v="3"/>
    <x v="3"/>
    <x v="0"/>
    <x v="3"/>
    <m/>
    <x v="0"/>
  </r>
  <r>
    <x v="1"/>
    <d v="2025-05-01T00:00:00"/>
    <x v="3"/>
    <x v="3"/>
    <x v="4"/>
    <x v="0"/>
    <x v="4"/>
    <m/>
    <x v="0"/>
  </r>
  <r>
    <x v="1"/>
    <d v="2025-05-01T00:00:00"/>
    <x v="3"/>
    <x v="3"/>
    <x v="5"/>
    <x v="1"/>
    <x v="5"/>
    <m/>
    <x v="0"/>
  </r>
  <r>
    <x v="1"/>
    <d v="2025-05-01T00:00:00"/>
    <x v="3"/>
    <x v="3"/>
    <x v="6"/>
    <x v="1"/>
    <x v="6"/>
    <m/>
    <x v="0"/>
  </r>
  <r>
    <x v="1"/>
    <d v="2025-05-01T00:00:00"/>
    <x v="3"/>
    <x v="3"/>
    <x v="22"/>
    <x v="15"/>
    <x v="7"/>
    <m/>
    <x v="0"/>
  </r>
  <r>
    <x v="1"/>
    <d v="2025-05-01T00:00:00"/>
    <x v="3"/>
    <x v="3"/>
    <x v="8"/>
    <x v="3"/>
    <x v="7"/>
    <m/>
    <x v="0"/>
  </r>
  <r>
    <x v="1"/>
    <d v="2025-05-01T00:00:00"/>
    <x v="3"/>
    <x v="3"/>
    <x v="10"/>
    <x v="5"/>
    <x v="7"/>
    <m/>
    <x v="0"/>
  </r>
  <r>
    <x v="1"/>
    <d v="2025-05-01T00:00:00"/>
    <x v="3"/>
    <x v="3"/>
    <x v="11"/>
    <x v="6"/>
    <x v="7"/>
    <m/>
    <x v="0"/>
  </r>
  <r>
    <x v="1"/>
    <d v="2025-05-01T00:00:00"/>
    <x v="3"/>
    <x v="3"/>
    <x v="12"/>
    <x v="7"/>
    <x v="7"/>
    <m/>
    <x v="0"/>
  </r>
  <r>
    <x v="1"/>
    <d v="2025-05-01T00:00:00"/>
    <x v="3"/>
    <x v="3"/>
    <x v="13"/>
    <x v="8"/>
    <x v="7"/>
    <m/>
    <x v="0"/>
  </r>
  <r>
    <x v="1"/>
    <d v="2025-05-01T00:00:00"/>
    <x v="3"/>
    <x v="3"/>
    <x v="14"/>
    <x v="9"/>
    <x v="7"/>
    <m/>
    <x v="0"/>
  </r>
  <r>
    <x v="1"/>
    <d v="2025-05-01T00:00:00"/>
    <x v="3"/>
    <x v="3"/>
    <x v="15"/>
    <x v="0"/>
    <x v="7"/>
    <m/>
    <x v="0"/>
  </r>
  <r>
    <x v="1"/>
    <d v="2025-05-01T00:00:00"/>
    <x v="3"/>
    <x v="3"/>
    <x v="16"/>
    <x v="10"/>
    <x v="7"/>
    <m/>
    <x v="0"/>
  </r>
  <r>
    <x v="1"/>
    <d v="2025-05-01T00:00:00"/>
    <x v="3"/>
    <x v="3"/>
    <x v="17"/>
    <x v="11"/>
    <x v="7"/>
    <m/>
    <x v="0"/>
  </r>
  <r>
    <x v="1"/>
    <d v="2025-05-01T00:00:00"/>
    <x v="3"/>
    <x v="3"/>
    <x v="18"/>
    <x v="12"/>
    <x v="7"/>
    <m/>
    <x v="0"/>
  </r>
  <r>
    <x v="1"/>
    <d v="2025-05-01T00:00:00"/>
    <x v="3"/>
    <x v="3"/>
    <x v="19"/>
    <x v="13"/>
    <x v="7"/>
    <m/>
    <x v="0"/>
  </r>
  <r>
    <x v="1"/>
    <d v="2025-06-01T00:00:00"/>
    <x v="4"/>
    <x v="4"/>
    <x v="0"/>
    <x v="0"/>
    <x v="0"/>
    <m/>
    <x v="0"/>
  </r>
  <r>
    <x v="1"/>
    <d v="2025-06-01T00:00:00"/>
    <x v="4"/>
    <x v="4"/>
    <x v="1"/>
    <x v="0"/>
    <x v="1"/>
    <m/>
    <x v="0"/>
  </r>
  <r>
    <x v="1"/>
    <d v="2025-06-01T00:00:00"/>
    <x v="4"/>
    <x v="4"/>
    <x v="2"/>
    <x v="0"/>
    <x v="2"/>
    <m/>
    <x v="0"/>
  </r>
  <r>
    <x v="1"/>
    <d v="2025-06-01T00:00:00"/>
    <x v="4"/>
    <x v="4"/>
    <x v="3"/>
    <x v="0"/>
    <x v="3"/>
    <m/>
    <x v="0"/>
  </r>
  <r>
    <x v="1"/>
    <d v="2025-06-01T00:00:00"/>
    <x v="4"/>
    <x v="4"/>
    <x v="4"/>
    <x v="0"/>
    <x v="4"/>
    <m/>
    <x v="0"/>
  </r>
  <r>
    <x v="1"/>
    <d v="2025-06-01T00:00:00"/>
    <x v="4"/>
    <x v="4"/>
    <x v="5"/>
    <x v="1"/>
    <x v="5"/>
    <m/>
    <x v="0"/>
  </r>
  <r>
    <x v="1"/>
    <d v="2025-06-01T00:00:00"/>
    <x v="4"/>
    <x v="4"/>
    <x v="6"/>
    <x v="1"/>
    <x v="6"/>
    <m/>
    <x v="0"/>
  </r>
  <r>
    <x v="1"/>
    <d v="2025-06-01T00:00:00"/>
    <x v="4"/>
    <x v="4"/>
    <x v="22"/>
    <x v="15"/>
    <x v="7"/>
    <m/>
    <x v="0"/>
  </r>
  <r>
    <x v="1"/>
    <d v="2025-06-01T00:00:00"/>
    <x v="4"/>
    <x v="4"/>
    <x v="8"/>
    <x v="3"/>
    <x v="7"/>
    <m/>
    <x v="0"/>
  </r>
  <r>
    <x v="1"/>
    <d v="2025-06-01T00:00:00"/>
    <x v="4"/>
    <x v="4"/>
    <x v="9"/>
    <x v="4"/>
    <x v="7"/>
    <m/>
    <x v="0"/>
  </r>
  <r>
    <x v="1"/>
    <d v="2025-06-01T00:00:00"/>
    <x v="4"/>
    <x v="4"/>
    <x v="10"/>
    <x v="5"/>
    <x v="7"/>
    <m/>
    <x v="0"/>
  </r>
  <r>
    <x v="1"/>
    <d v="2025-06-01T00:00:00"/>
    <x v="4"/>
    <x v="4"/>
    <x v="11"/>
    <x v="6"/>
    <x v="7"/>
    <m/>
    <x v="0"/>
  </r>
  <r>
    <x v="1"/>
    <d v="2025-06-01T00:00:00"/>
    <x v="4"/>
    <x v="4"/>
    <x v="12"/>
    <x v="7"/>
    <x v="7"/>
    <m/>
    <x v="0"/>
  </r>
  <r>
    <x v="1"/>
    <d v="2025-06-01T00:00:00"/>
    <x v="4"/>
    <x v="4"/>
    <x v="13"/>
    <x v="8"/>
    <x v="7"/>
    <m/>
    <x v="0"/>
  </r>
  <r>
    <x v="1"/>
    <d v="2025-06-01T00:00:00"/>
    <x v="4"/>
    <x v="4"/>
    <x v="14"/>
    <x v="9"/>
    <x v="7"/>
    <m/>
    <x v="0"/>
  </r>
  <r>
    <x v="1"/>
    <d v="2025-06-01T00:00:00"/>
    <x v="4"/>
    <x v="4"/>
    <x v="15"/>
    <x v="0"/>
    <x v="7"/>
    <m/>
    <x v="0"/>
  </r>
  <r>
    <x v="1"/>
    <d v="2025-06-01T00:00:00"/>
    <x v="4"/>
    <x v="4"/>
    <x v="16"/>
    <x v="10"/>
    <x v="7"/>
    <m/>
    <x v="0"/>
  </r>
  <r>
    <x v="1"/>
    <d v="2025-06-01T00:00:00"/>
    <x v="4"/>
    <x v="4"/>
    <x v="17"/>
    <x v="11"/>
    <x v="7"/>
    <m/>
    <x v="0"/>
  </r>
  <r>
    <x v="1"/>
    <d v="2025-06-01T00:00:00"/>
    <x v="4"/>
    <x v="4"/>
    <x v="18"/>
    <x v="12"/>
    <x v="7"/>
    <m/>
    <x v="0"/>
  </r>
  <r>
    <x v="1"/>
    <d v="2025-06-01T00:00:00"/>
    <x v="4"/>
    <x v="4"/>
    <x v="19"/>
    <x v="13"/>
    <x v="7"/>
    <m/>
    <x v="0"/>
  </r>
  <r>
    <x v="1"/>
    <d v="2025-06-01T00:00:00"/>
    <x v="4"/>
    <x v="4"/>
    <x v="20"/>
    <x v="14"/>
    <x v="8"/>
    <m/>
    <x v="0"/>
  </r>
  <r>
    <x v="1"/>
    <d v="2025-06-01T00:00:00"/>
    <x v="4"/>
    <x v="4"/>
    <x v="21"/>
    <x v="14"/>
    <x v="9"/>
    <m/>
    <x v="0"/>
  </r>
  <r>
    <x v="1"/>
    <d v="2025-06-01T00:00:00"/>
    <x v="4"/>
    <x v="4"/>
    <x v="24"/>
    <x v="17"/>
    <x v="7"/>
    <m/>
    <x v="0"/>
  </r>
  <r>
    <x v="2"/>
    <d v="2025-02-01T00:00:00"/>
    <x v="0"/>
    <x v="0"/>
    <x v="0"/>
    <x v="0"/>
    <x v="0"/>
    <n v="26"/>
    <x v="0"/>
  </r>
  <r>
    <x v="2"/>
    <d v="2025-02-01T00:00:00"/>
    <x v="0"/>
    <x v="0"/>
    <x v="1"/>
    <x v="0"/>
    <x v="1"/>
    <n v="33"/>
    <x v="0"/>
  </r>
  <r>
    <x v="2"/>
    <d v="2025-02-01T00:00:00"/>
    <x v="0"/>
    <x v="0"/>
    <x v="2"/>
    <x v="0"/>
    <x v="2"/>
    <n v="20"/>
    <x v="0"/>
  </r>
  <r>
    <x v="2"/>
    <d v="2025-02-01T00:00:00"/>
    <x v="0"/>
    <x v="0"/>
    <x v="3"/>
    <x v="0"/>
    <x v="3"/>
    <n v="12"/>
    <x v="0"/>
  </r>
  <r>
    <x v="2"/>
    <d v="2025-02-01T00:00:00"/>
    <x v="0"/>
    <x v="0"/>
    <x v="4"/>
    <x v="0"/>
    <x v="4"/>
    <n v="6"/>
    <x v="0"/>
  </r>
  <r>
    <x v="2"/>
    <d v="2025-02-01T00:00:00"/>
    <x v="0"/>
    <x v="0"/>
    <x v="5"/>
    <x v="1"/>
    <x v="5"/>
    <n v="20"/>
    <x v="0"/>
  </r>
  <r>
    <x v="2"/>
    <d v="2025-02-01T00:00:00"/>
    <x v="0"/>
    <x v="0"/>
    <x v="6"/>
    <x v="1"/>
    <x v="6"/>
    <n v="21"/>
    <x v="0"/>
  </r>
  <r>
    <x v="2"/>
    <d v="2025-02-01T00:00:00"/>
    <x v="0"/>
    <x v="0"/>
    <x v="7"/>
    <x v="2"/>
    <x v="7"/>
    <n v="5"/>
    <x v="0"/>
  </r>
  <r>
    <x v="2"/>
    <d v="2025-02-01T00:00:00"/>
    <x v="0"/>
    <x v="0"/>
    <x v="8"/>
    <x v="3"/>
    <x v="7"/>
    <n v="1"/>
    <x v="0"/>
  </r>
  <r>
    <x v="2"/>
    <d v="2025-02-01T00:00:00"/>
    <x v="0"/>
    <x v="0"/>
    <x v="9"/>
    <x v="4"/>
    <x v="7"/>
    <n v="2"/>
    <x v="0"/>
  </r>
  <r>
    <x v="2"/>
    <d v="2025-02-01T00:00:00"/>
    <x v="0"/>
    <x v="0"/>
    <x v="10"/>
    <x v="5"/>
    <x v="7"/>
    <n v="5"/>
    <x v="0"/>
  </r>
  <r>
    <x v="2"/>
    <d v="2025-02-01T00:00:00"/>
    <x v="0"/>
    <x v="0"/>
    <x v="11"/>
    <x v="6"/>
    <x v="7"/>
    <n v="10"/>
    <x v="0"/>
  </r>
  <r>
    <x v="2"/>
    <d v="2025-02-01T00:00:00"/>
    <x v="0"/>
    <x v="0"/>
    <x v="12"/>
    <x v="7"/>
    <x v="7"/>
    <n v="3"/>
    <x v="0"/>
  </r>
  <r>
    <x v="2"/>
    <d v="2025-02-01T00:00:00"/>
    <x v="0"/>
    <x v="0"/>
    <x v="13"/>
    <x v="8"/>
    <x v="7"/>
    <n v="22"/>
    <x v="0"/>
  </r>
  <r>
    <x v="2"/>
    <d v="2025-02-01T00:00:00"/>
    <x v="0"/>
    <x v="0"/>
    <x v="14"/>
    <x v="9"/>
    <x v="7"/>
    <n v="6"/>
    <x v="0"/>
  </r>
  <r>
    <x v="2"/>
    <d v="2025-02-01T00:00:00"/>
    <x v="0"/>
    <x v="0"/>
    <x v="15"/>
    <x v="0"/>
    <x v="7"/>
    <n v="1"/>
    <x v="0"/>
  </r>
  <r>
    <x v="2"/>
    <d v="2025-02-01T00:00:00"/>
    <x v="0"/>
    <x v="0"/>
    <x v="16"/>
    <x v="10"/>
    <x v="7"/>
    <n v="3"/>
    <x v="0"/>
  </r>
  <r>
    <x v="2"/>
    <d v="2025-02-01T00:00:00"/>
    <x v="0"/>
    <x v="0"/>
    <x v="17"/>
    <x v="11"/>
    <x v="7"/>
    <n v="2"/>
    <x v="0"/>
  </r>
  <r>
    <x v="2"/>
    <d v="2025-02-01T00:00:00"/>
    <x v="0"/>
    <x v="0"/>
    <x v="18"/>
    <x v="12"/>
    <x v="7"/>
    <n v="111"/>
    <x v="4"/>
  </r>
  <r>
    <x v="2"/>
    <d v="2025-02-01T00:00:00"/>
    <x v="0"/>
    <x v="0"/>
    <x v="19"/>
    <x v="13"/>
    <x v="7"/>
    <n v="1"/>
    <x v="5"/>
  </r>
  <r>
    <x v="2"/>
    <d v="2025-02-01T00:00:00"/>
    <x v="0"/>
    <x v="0"/>
    <x v="20"/>
    <x v="14"/>
    <x v="8"/>
    <n v="33"/>
    <x v="0"/>
  </r>
  <r>
    <x v="2"/>
    <d v="2025-02-01T00:00:00"/>
    <x v="0"/>
    <x v="0"/>
    <x v="21"/>
    <x v="14"/>
    <x v="9"/>
    <n v="2"/>
    <x v="0"/>
  </r>
  <r>
    <x v="2"/>
    <d v="2025-03-01T00:00:00"/>
    <x v="1"/>
    <x v="1"/>
    <x v="0"/>
    <x v="0"/>
    <x v="0"/>
    <n v="35"/>
    <x v="0"/>
  </r>
  <r>
    <x v="2"/>
    <d v="2025-03-01T00:00:00"/>
    <x v="1"/>
    <x v="1"/>
    <x v="1"/>
    <x v="0"/>
    <x v="1"/>
    <n v="37"/>
    <x v="0"/>
  </r>
  <r>
    <x v="2"/>
    <d v="2025-03-01T00:00:00"/>
    <x v="1"/>
    <x v="1"/>
    <x v="2"/>
    <x v="0"/>
    <x v="2"/>
    <n v="19"/>
    <x v="0"/>
  </r>
  <r>
    <x v="2"/>
    <d v="2025-03-01T00:00:00"/>
    <x v="1"/>
    <x v="1"/>
    <x v="3"/>
    <x v="0"/>
    <x v="3"/>
    <n v="18"/>
    <x v="0"/>
  </r>
  <r>
    <x v="2"/>
    <d v="2025-03-01T00:00:00"/>
    <x v="1"/>
    <x v="1"/>
    <x v="4"/>
    <x v="0"/>
    <x v="4"/>
    <n v="7"/>
    <x v="0"/>
  </r>
  <r>
    <x v="2"/>
    <d v="2025-03-01T00:00:00"/>
    <x v="1"/>
    <x v="1"/>
    <x v="5"/>
    <x v="1"/>
    <x v="5"/>
    <n v="47"/>
    <x v="0"/>
  </r>
  <r>
    <x v="2"/>
    <d v="2025-03-01T00:00:00"/>
    <x v="1"/>
    <x v="1"/>
    <x v="6"/>
    <x v="1"/>
    <x v="6"/>
    <n v="25"/>
    <x v="0"/>
  </r>
  <r>
    <x v="2"/>
    <d v="2025-03-01T00:00:00"/>
    <x v="1"/>
    <x v="1"/>
    <x v="7"/>
    <x v="2"/>
    <x v="7"/>
    <n v="8"/>
    <x v="0"/>
  </r>
  <r>
    <x v="2"/>
    <d v="2025-03-01T00:00:00"/>
    <x v="1"/>
    <x v="1"/>
    <x v="8"/>
    <x v="3"/>
    <x v="7"/>
    <n v="1"/>
    <x v="0"/>
  </r>
  <r>
    <x v="2"/>
    <d v="2025-03-01T00:00:00"/>
    <x v="1"/>
    <x v="1"/>
    <x v="10"/>
    <x v="5"/>
    <x v="7"/>
    <n v="4"/>
    <x v="0"/>
  </r>
  <r>
    <x v="2"/>
    <d v="2025-03-01T00:00:00"/>
    <x v="1"/>
    <x v="1"/>
    <x v="11"/>
    <x v="6"/>
    <x v="7"/>
    <n v="9"/>
    <x v="0"/>
  </r>
  <r>
    <x v="2"/>
    <d v="2025-03-01T00:00:00"/>
    <x v="1"/>
    <x v="1"/>
    <x v="12"/>
    <x v="7"/>
    <x v="7"/>
    <n v="4"/>
    <x v="0"/>
  </r>
  <r>
    <x v="2"/>
    <d v="2025-03-01T00:00:00"/>
    <x v="1"/>
    <x v="1"/>
    <x v="13"/>
    <x v="8"/>
    <x v="7"/>
    <n v="24"/>
    <x v="0"/>
  </r>
  <r>
    <x v="2"/>
    <d v="2025-03-01T00:00:00"/>
    <x v="1"/>
    <x v="1"/>
    <x v="14"/>
    <x v="9"/>
    <x v="7"/>
    <n v="10"/>
    <x v="0"/>
  </r>
  <r>
    <x v="2"/>
    <d v="2025-03-01T00:00:00"/>
    <x v="1"/>
    <x v="1"/>
    <x v="15"/>
    <x v="0"/>
    <x v="7"/>
    <n v="6"/>
    <x v="0"/>
  </r>
  <r>
    <x v="2"/>
    <d v="2025-03-01T00:00:00"/>
    <x v="1"/>
    <x v="1"/>
    <x v="16"/>
    <x v="10"/>
    <x v="7"/>
    <n v="6"/>
    <x v="0"/>
  </r>
  <r>
    <x v="2"/>
    <d v="2025-03-01T00:00:00"/>
    <x v="1"/>
    <x v="1"/>
    <x v="17"/>
    <x v="11"/>
    <x v="7"/>
    <n v="4"/>
    <x v="0"/>
  </r>
  <r>
    <x v="2"/>
    <d v="2025-03-01T00:00:00"/>
    <x v="1"/>
    <x v="1"/>
    <x v="18"/>
    <x v="12"/>
    <x v="7"/>
    <n v="116"/>
    <x v="0"/>
  </r>
  <r>
    <x v="2"/>
    <d v="2025-03-01T00:00:00"/>
    <x v="1"/>
    <x v="1"/>
    <x v="19"/>
    <x v="13"/>
    <x v="7"/>
    <n v="14"/>
    <x v="0"/>
  </r>
  <r>
    <x v="2"/>
    <d v="2025-03-01T00:00:00"/>
    <x v="1"/>
    <x v="1"/>
    <x v="20"/>
    <x v="14"/>
    <x v="8"/>
    <n v="21"/>
    <x v="0"/>
  </r>
  <r>
    <x v="2"/>
    <d v="2025-03-01T00:00:00"/>
    <x v="1"/>
    <x v="1"/>
    <x v="21"/>
    <x v="14"/>
    <x v="9"/>
    <n v="3"/>
    <x v="0"/>
  </r>
  <r>
    <x v="2"/>
    <d v="2025-03-01T00:00:00"/>
    <x v="1"/>
    <x v="1"/>
    <x v="23"/>
    <x v="16"/>
    <x v="7"/>
    <n v="6"/>
    <x v="0"/>
  </r>
  <r>
    <x v="2"/>
    <d v="2025-04-01T00:00:00"/>
    <x v="2"/>
    <x v="2"/>
    <x v="0"/>
    <x v="0"/>
    <x v="0"/>
    <n v="37"/>
    <x v="0"/>
  </r>
  <r>
    <x v="2"/>
    <d v="2025-04-01T00:00:00"/>
    <x v="2"/>
    <x v="2"/>
    <x v="1"/>
    <x v="0"/>
    <x v="1"/>
    <n v="36"/>
    <x v="0"/>
  </r>
  <r>
    <x v="2"/>
    <d v="2025-04-01T00:00:00"/>
    <x v="2"/>
    <x v="2"/>
    <x v="2"/>
    <x v="0"/>
    <x v="2"/>
    <n v="22"/>
    <x v="0"/>
  </r>
  <r>
    <x v="2"/>
    <d v="2025-04-01T00:00:00"/>
    <x v="2"/>
    <x v="2"/>
    <x v="3"/>
    <x v="0"/>
    <x v="3"/>
    <n v="17"/>
    <x v="0"/>
  </r>
  <r>
    <x v="2"/>
    <d v="2025-04-01T00:00:00"/>
    <x v="2"/>
    <x v="2"/>
    <x v="4"/>
    <x v="0"/>
    <x v="4"/>
    <n v="8"/>
    <x v="0"/>
  </r>
  <r>
    <x v="2"/>
    <d v="2025-04-01T00:00:00"/>
    <x v="2"/>
    <x v="2"/>
    <x v="5"/>
    <x v="1"/>
    <x v="5"/>
    <n v="33"/>
    <x v="0"/>
  </r>
  <r>
    <x v="2"/>
    <d v="2025-04-01T00:00:00"/>
    <x v="2"/>
    <x v="2"/>
    <x v="6"/>
    <x v="1"/>
    <x v="6"/>
    <n v="20"/>
    <x v="0"/>
  </r>
  <r>
    <x v="2"/>
    <d v="2025-04-01T00:00:00"/>
    <x v="2"/>
    <x v="2"/>
    <x v="22"/>
    <x v="15"/>
    <x v="7"/>
    <n v="7"/>
    <x v="0"/>
  </r>
  <r>
    <x v="2"/>
    <d v="2025-04-01T00:00:00"/>
    <x v="2"/>
    <x v="2"/>
    <x v="8"/>
    <x v="3"/>
    <x v="7"/>
    <n v="2"/>
    <x v="0"/>
  </r>
  <r>
    <x v="2"/>
    <d v="2025-04-01T00:00:00"/>
    <x v="2"/>
    <x v="2"/>
    <x v="23"/>
    <x v="16"/>
    <x v="7"/>
    <n v="5"/>
    <x v="0"/>
  </r>
  <r>
    <x v="2"/>
    <d v="2025-04-01T00:00:00"/>
    <x v="2"/>
    <x v="2"/>
    <x v="10"/>
    <x v="5"/>
    <x v="7"/>
    <n v="8"/>
    <x v="0"/>
  </r>
  <r>
    <x v="2"/>
    <d v="2025-04-01T00:00:00"/>
    <x v="2"/>
    <x v="2"/>
    <x v="11"/>
    <x v="6"/>
    <x v="7"/>
    <n v="10"/>
    <x v="0"/>
  </r>
  <r>
    <x v="2"/>
    <d v="2025-04-01T00:00:00"/>
    <x v="2"/>
    <x v="2"/>
    <x v="12"/>
    <x v="7"/>
    <x v="7"/>
    <n v="4"/>
    <x v="0"/>
  </r>
  <r>
    <x v="2"/>
    <d v="2025-04-01T00:00:00"/>
    <x v="2"/>
    <x v="2"/>
    <x v="13"/>
    <x v="8"/>
    <x v="7"/>
    <n v="23"/>
    <x v="0"/>
  </r>
  <r>
    <x v="2"/>
    <d v="2025-04-01T00:00:00"/>
    <x v="2"/>
    <x v="2"/>
    <x v="14"/>
    <x v="9"/>
    <x v="7"/>
    <n v="7"/>
    <x v="0"/>
  </r>
  <r>
    <x v="2"/>
    <d v="2025-04-01T00:00:00"/>
    <x v="2"/>
    <x v="2"/>
    <x v="15"/>
    <x v="0"/>
    <x v="7"/>
    <n v="2"/>
    <x v="0"/>
  </r>
  <r>
    <x v="2"/>
    <d v="2025-04-01T00:00:00"/>
    <x v="2"/>
    <x v="2"/>
    <x v="16"/>
    <x v="10"/>
    <x v="7"/>
    <n v="3"/>
    <x v="0"/>
  </r>
  <r>
    <x v="2"/>
    <d v="2025-04-01T00:00:00"/>
    <x v="2"/>
    <x v="2"/>
    <x v="17"/>
    <x v="11"/>
    <x v="7"/>
    <n v="5"/>
    <x v="0"/>
  </r>
  <r>
    <x v="2"/>
    <d v="2025-04-01T00:00:00"/>
    <x v="2"/>
    <x v="2"/>
    <x v="18"/>
    <x v="12"/>
    <x v="7"/>
    <n v="85"/>
    <x v="0"/>
  </r>
  <r>
    <x v="2"/>
    <d v="2025-04-01T00:00:00"/>
    <x v="2"/>
    <x v="2"/>
    <x v="19"/>
    <x v="13"/>
    <x v="7"/>
    <n v="12"/>
    <x v="0"/>
  </r>
  <r>
    <x v="2"/>
    <d v="2025-04-01T00:00:00"/>
    <x v="2"/>
    <x v="2"/>
    <x v="20"/>
    <x v="14"/>
    <x v="8"/>
    <n v="19"/>
    <x v="0"/>
  </r>
  <r>
    <x v="2"/>
    <d v="2025-04-01T00:00:00"/>
    <x v="2"/>
    <x v="2"/>
    <x v="21"/>
    <x v="14"/>
    <x v="9"/>
    <n v="1"/>
    <x v="0"/>
  </r>
  <r>
    <x v="2"/>
    <d v="2025-04-01T00:00:00"/>
    <x v="2"/>
    <x v="2"/>
    <x v="24"/>
    <x v="17"/>
    <x v="7"/>
    <m/>
    <x v="0"/>
  </r>
  <r>
    <x v="2"/>
    <d v="2025-05-01T00:00:00"/>
    <x v="3"/>
    <x v="3"/>
    <x v="0"/>
    <x v="0"/>
    <x v="0"/>
    <m/>
    <x v="0"/>
  </r>
  <r>
    <x v="2"/>
    <d v="2025-05-01T00:00:00"/>
    <x v="3"/>
    <x v="3"/>
    <x v="1"/>
    <x v="0"/>
    <x v="1"/>
    <m/>
    <x v="0"/>
  </r>
  <r>
    <x v="2"/>
    <d v="2025-05-01T00:00:00"/>
    <x v="3"/>
    <x v="3"/>
    <x v="2"/>
    <x v="0"/>
    <x v="2"/>
    <m/>
    <x v="0"/>
  </r>
  <r>
    <x v="2"/>
    <d v="2025-05-01T00:00:00"/>
    <x v="3"/>
    <x v="3"/>
    <x v="3"/>
    <x v="0"/>
    <x v="3"/>
    <m/>
    <x v="0"/>
  </r>
  <r>
    <x v="2"/>
    <d v="2025-05-01T00:00:00"/>
    <x v="3"/>
    <x v="3"/>
    <x v="4"/>
    <x v="0"/>
    <x v="4"/>
    <m/>
    <x v="0"/>
  </r>
  <r>
    <x v="2"/>
    <d v="2025-05-01T00:00:00"/>
    <x v="3"/>
    <x v="3"/>
    <x v="5"/>
    <x v="1"/>
    <x v="5"/>
    <m/>
    <x v="0"/>
  </r>
  <r>
    <x v="2"/>
    <d v="2025-05-01T00:00:00"/>
    <x v="3"/>
    <x v="3"/>
    <x v="6"/>
    <x v="1"/>
    <x v="6"/>
    <m/>
    <x v="0"/>
  </r>
  <r>
    <x v="2"/>
    <d v="2025-05-01T00:00:00"/>
    <x v="3"/>
    <x v="3"/>
    <x v="22"/>
    <x v="15"/>
    <x v="7"/>
    <m/>
    <x v="0"/>
  </r>
  <r>
    <x v="2"/>
    <d v="2025-05-01T00:00:00"/>
    <x v="3"/>
    <x v="3"/>
    <x v="8"/>
    <x v="3"/>
    <x v="7"/>
    <m/>
    <x v="0"/>
  </r>
  <r>
    <x v="2"/>
    <d v="2025-05-01T00:00:00"/>
    <x v="3"/>
    <x v="3"/>
    <x v="9"/>
    <x v="4"/>
    <x v="7"/>
    <m/>
    <x v="0"/>
  </r>
  <r>
    <x v="2"/>
    <d v="2025-05-01T00:00:00"/>
    <x v="3"/>
    <x v="3"/>
    <x v="10"/>
    <x v="5"/>
    <x v="7"/>
    <m/>
    <x v="0"/>
  </r>
  <r>
    <x v="2"/>
    <d v="2025-05-01T00:00:00"/>
    <x v="3"/>
    <x v="3"/>
    <x v="11"/>
    <x v="6"/>
    <x v="7"/>
    <m/>
    <x v="0"/>
  </r>
  <r>
    <x v="2"/>
    <d v="2025-05-01T00:00:00"/>
    <x v="3"/>
    <x v="3"/>
    <x v="12"/>
    <x v="7"/>
    <x v="7"/>
    <m/>
    <x v="0"/>
  </r>
  <r>
    <x v="2"/>
    <d v="2025-05-01T00:00:00"/>
    <x v="3"/>
    <x v="3"/>
    <x v="13"/>
    <x v="8"/>
    <x v="7"/>
    <m/>
    <x v="0"/>
  </r>
  <r>
    <x v="2"/>
    <d v="2025-05-01T00:00:00"/>
    <x v="3"/>
    <x v="3"/>
    <x v="14"/>
    <x v="9"/>
    <x v="7"/>
    <m/>
    <x v="0"/>
  </r>
  <r>
    <x v="2"/>
    <d v="2025-05-01T00:00:00"/>
    <x v="3"/>
    <x v="3"/>
    <x v="15"/>
    <x v="0"/>
    <x v="7"/>
    <m/>
    <x v="0"/>
  </r>
  <r>
    <x v="2"/>
    <d v="2025-05-01T00:00:00"/>
    <x v="3"/>
    <x v="3"/>
    <x v="16"/>
    <x v="10"/>
    <x v="7"/>
    <m/>
    <x v="0"/>
  </r>
  <r>
    <x v="2"/>
    <d v="2025-05-01T00:00:00"/>
    <x v="3"/>
    <x v="3"/>
    <x v="17"/>
    <x v="11"/>
    <x v="7"/>
    <m/>
    <x v="0"/>
  </r>
  <r>
    <x v="2"/>
    <d v="2025-05-01T00:00:00"/>
    <x v="3"/>
    <x v="3"/>
    <x v="18"/>
    <x v="12"/>
    <x v="7"/>
    <m/>
    <x v="0"/>
  </r>
  <r>
    <x v="2"/>
    <d v="2025-05-01T00:00:00"/>
    <x v="3"/>
    <x v="3"/>
    <x v="19"/>
    <x v="13"/>
    <x v="7"/>
    <m/>
    <x v="0"/>
  </r>
  <r>
    <x v="2"/>
    <d v="2025-05-01T00:00:00"/>
    <x v="3"/>
    <x v="3"/>
    <x v="20"/>
    <x v="14"/>
    <x v="8"/>
    <m/>
    <x v="0"/>
  </r>
  <r>
    <x v="2"/>
    <d v="2025-05-01T00:00:00"/>
    <x v="3"/>
    <x v="3"/>
    <x v="21"/>
    <x v="14"/>
    <x v="9"/>
    <m/>
    <x v="0"/>
  </r>
  <r>
    <x v="2"/>
    <d v="2025-05-01T00:00:00"/>
    <x v="3"/>
    <x v="3"/>
    <x v="24"/>
    <x v="17"/>
    <x v="7"/>
    <m/>
    <x v="0"/>
  </r>
  <r>
    <x v="2"/>
    <d v="2025-06-01T00:00:00"/>
    <x v="4"/>
    <x v="4"/>
    <x v="0"/>
    <x v="0"/>
    <x v="0"/>
    <m/>
    <x v="0"/>
  </r>
  <r>
    <x v="2"/>
    <d v="2025-06-01T00:00:00"/>
    <x v="4"/>
    <x v="4"/>
    <x v="1"/>
    <x v="0"/>
    <x v="1"/>
    <m/>
    <x v="0"/>
  </r>
  <r>
    <x v="2"/>
    <d v="2025-06-01T00:00:00"/>
    <x v="4"/>
    <x v="4"/>
    <x v="2"/>
    <x v="0"/>
    <x v="2"/>
    <m/>
    <x v="0"/>
  </r>
  <r>
    <x v="2"/>
    <d v="2025-06-01T00:00:00"/>
    <x v="4"/>
    <x v="4"/>
    <x v="3"/>
    <x v="0"/>
    <x v="3"/>
    <m/>
    <x v="0"/>
  </r>
  <r>
    <x v="2"/>
    <d v="2025-06-01T00:00:00"/>
    <x v="4"/>
    <x v="4"/>
    <x v="4"/>
    <x v="0"/>
    <x v="4"/>
    <m/>
    <x v="0"/>
  </r>
  <r>
    <x v="2"/>
    <d v="2025-06-01T00:00:00"/>
    <x v="4"/>
    <x v="4"/>
    <x v="5"/>
    <x v="1"/>
    <x v="5"/>
    <m/>
    <x v="0"/>
  </r>
  <r>
    <x v="2"/>
    <d v="2025-06-01T00:00:00"/>
    <x v="4"/>
    <x v="4"/>
    <x v="6"/>
    <x v="1"/>
    <x v="6"/>
    <m/>
    <x v="0"/>
  </r>
  <r>
    <x v="2"/>
    <d v="2025-06-01T00:00:00"/>
    <x v="4"/>
    <x v="4"/>
    <x v="22"/>
    <x v="15"/>
    <x v="7"/>
    <m/>
    <x v="0"/>
  </r>
  <r>
    <x v="2"/>
    <d v="2025-06-01T00:00:00"/>
    <x v="4"/>
    <x v="4"/>
    <x v="8"/>
    <x v="3"/>
    <x v="7"/>
    <m/>
    <x v="0"/>
  </r>
  <r>
    <x v="2"/>
    <d v="2025-06-01T00:00:00"/>
    <x v="4"/>
    <x v="4"/>
    <x v="9"/>
    <x v="4"/>
    <x v="7"/>
    <m/>
    <x v="0"/>
  </r>
  <r>
    <x v="2"/>
    <d v="2025-06-01T00:00:00"/>
    <x v="4"/>
    <x v="4"/>
    <x v="10"/>
    <x v="5"/>
    <x v="7"/>
    <m/>
    <x v="0"/>
  </r>
  <r>
    <x v="2"/>
    <d v="2025-06-01T00:00:00"/>
    <x v="4"/>
    <x v="4"/>
    <x v="11"/>
    <x v="6"/>
    <x v="7"/>
    <m/>
    <x v="0"/>
  </r>
  <r>
    <x v="2"/>
    <d v="2025-06-01T00:00:00"/>
    <x v="4"/>
    <x v="4"/>
    <x v="12"/>
    <x v="7"/>
    <x v="7"/>
    <m/>
    <x v="0"/>
  </r>
  <r>
    <x v="2"/>
    <d v="2025-06-01T00:00:00"/>
    <x v="4"/>
    <x v="4"/>
    <x v="13"/>
    <x v="8"/>
    <x v="7"/>
    <m/>
    <x v="0"/>
  </r>
  <r>
    <x v="2"/>
    <d v="2025-06-01T00:00:00"/>
    <x v="4"/>
    <x v="4"/>
    <x v="14"/>
    <x v="9"/>
    <x v="7"/>
    <m/>
    <x v="0"/>
  </r>
  <r>
    <x v="2"/>
    <d v="2025-06-01T00:00:00"/>
    <x v="4"/>
    <x v="4"/>
    <x v="15"/>
    <x v="0"/>
    <x v="7"/>
    <m/>
    <x v="0"/>
  </r>
  <r>
    <x v="2"/>
    <d v="2025-06-01T00:00:00"/>
    <x v="4"/>
    <x v="4"/>
    <x v="16"/>
    <x v="10"/>
    <x v="7"/>
    <m/>
    <x v="0"/>
  </r>
  <r>
    <x v="2"/>
    <d v="2025-06-01T00:00:00"/>
    <x v="4"/>
    <x v="4"/>
    <x v="17"/>
    <x v="11"/>
    <x v="7"/>
    <m/>
    <x v="0"/>
  </r>
  <r>
    <x v="2"/>
    <d v="2025-06-01T00:00:00"/>
    <x v="4"/>
    <x v="4"/>
    <x v="18"/>
    <x v="12"/>
    <x v="7"/>
    <m/>
    <x v="0"/>
  </r>
  <r>
    <x v="2"/>
    <d v="2025-06-01T00:00:00"/>
    <x v="4"/>
    <x v="4"/>
    <x v="19"/>
    <x v="13"/>
    <x v="7"/>
    <m/>
    <x v="0"/>
  </r>
  <r>
    <x v="2"/>
    <d v="2025-06-01T00:00:00"/>
    <x v="4"/>
    <x v="4"/>
    <x v="20"/>
    <x v="14"/>
    <x v="8"/>
    <m/>
    <x v="0"/>
  </r>
  <r>
    <x v="2"/>
    <d v="2025-06-01T00:00:00"/>
    <x v="4"/>
    <x v="4"/>
    <x v="21"/>
    <x v="14"/>
    <x v="9"/>
    <m/>
    <x v="0"/>
  </r>
  <r>
    <x v="2"/>
    <d v="2025-06-01T00:00:00"/>
    <x v="4"/>
    <x v="4"/>
    <x v="24"/>
    <x v="17"/>
    <x v="7"/>
    <m/>
    <x v="0"/>
  </r>
  <r>
    <x v="3"/>
    <d v="2025-02-01T00:00:00"/>
    <x v="0"/>
    <x v="0"/>
    <x v="0"/>
    <x v="0"/>
    <x v="0"/>
    <n v="28"/>
    <x v="0"/>
  </r>
  <r>
    <x v="3"/>
    <d v="2025-02-01T00:00:00"/>
    <x v="0"/>
    <x v="0"/>
    <x v="1"/>
    <x v="0"/>
    <x v="1"/>
    <n v="36"/>
    <x v="0"/>
  </r>
  <r>
    <x v="3"/>
    <d v="2025-02-01T00:00:00"/>
    <x v="0"/>
    <x v="0"/>
    <x v="2"/>
    <x v="0"/>
    <x v="2"/>
    <n v="19"/>
    <x v="0"/>
  </r>
  <r>
    <x v="3"/>
    <d v="2025-02-01T00:00:00"/>
    <x v="0"/>
    <x v="0"/>
    <x v="3"/>
    <x v="0"/>
    <x v="3"/>
    <n v="13"/>
    <x v="0"/>
  </r>
  <r>
    <x v="3"/>
    <d v="2025-02-01T00:00:00"/>
    <x v="0"/>
    <x v="0"/>
    <x v="4"/>
    <x v="0"/>
    <x v="4"/>
    <n v="6"/>
    <x v="0"/>
  </r>
  <r>
    <x v="3"/>
    <d v="2025-02-01T00:00:00"/>
    <x v="0"/>
    <x v="0"/>
    <x v="5"/>
    <x v="1"/>
    <x v="5"/>
    <n v="24"/>
    <x v="0"/>
  </r>
  <r>
    <x v="3"/>
    <d v="2025-02-01T00:00:00"/>
    <x v="0"/>
    <x v="0"/>
    <x v="6"/>
    <x v="1"/>
    <x v="6"/>
    <n v="25"/>
    <x v="0"/>
  </r>
  <r>
    <x v="3"/>
    <d v="2025-02-01T00:00:00"/>
    <x v="0"/>
    <x v="0"/>
    <x v="7"/>
    <x v="2"/>
    <x v="7"/>
    <n v="4"/>
    <x v="0"/>
  </r>
  <r>
    <x v="3"/>
    <d v="2025-02-01T00:00:00"/>
    <x v="0"/>
    <x v="0"/>
    <x v="8"/>
    <x v="3"/>
    <x v="7"/>
    <n v="3"/>
    <x v="0"/>
  </r>
  <r>
    <x v="3"/>
    <d v="2025-02-01T00:00:00"/>
    <x v="0"/>
    <x v="0"/>
    <x v="9"/>
    <x v="4"/>
    <x v="7"/>
    <n v="3"/>
    <x v="0"/>
  </r>
  <r>
    <x v="3"/>
    <d v="2025-02-01T00:00:00"/>
    <x v="0"/>
    <x v="0"/>
    <x v="10"/>
    <x v="5"/>
    <x v="7"/>
    <n v="5"/>
    <x v="0"/>
  </r>
  <r>
    <x v="3"/>
    <d v="2025-02-01T00:00:00"/>
    <x v="0"/>
    <x v="0"/>
    <x v="11"/>
    <x v="6"/>
    <x v="7"/>
    <n v="11"/>
    <x v="0"/>
  </r>
  <r>
    <x v="3"/>
    <d v="2025-02-01T00:00:00"/>
    <x v="0"/>
    <x v="0"/>
    <x v="12"/>
    <x v="7"/>
    <x v="7"/>
    <n v="4"/>
    <x v="0"/>
  </r>
  <r>
    <x v="3"/>
    <d v="2025-02-01T00:00:00"/>
    <x v="0"/>
    <x v="0"/>
    <x v="13"/>
    <x v="8"/>
    <x v="7"/>
    <n v="21"/>
    <x v="0"/>
  </r>
  <r>
    <x v="3"/>
    <d v="2025-02-01T00:00:00"/>
    <x v="0"/>
    <x v="0"/>
    <x v="14"/>
    <x v="9"/>
    <x v="7"/>
    <n v="7"/>
    <x v="0"/>
  </r>
  <r>
    <x v="3"/>
    <d v="2025-02-01T00:00:00"/>
    <x v="0"/>
    <x v="0"/>
    <x v="15"/>
    <x v="0"/>
    <x v="7"/>
    <n v="2"/>
    <x v="0"/>
  </r>
  <r>
    <x v="3"/>
    <d v="2025-02-01T00:00:00"/>
    <x v="0"/>
    <x v="0"/>
    <x v="16"/>
    <x v="10"/>
    <x v="7"/>
    <n v="3"/>
    <x v="0"/>
  </r>
  <r>
    <x v="3"/>
    <d v="2025-02-01T00:00:00"/>
    <x v="0"/>
    <x v="0"/>
    <x v="17"/>
    <x v="11"/>
    <x v="7"/>
    <n v="3"/>
    <x v="0"/>
  </r>
  <r>
    <x v="3"/>
    <d v="2025-02-01T00:00:00"/>
    <x v="0"/>
    <x v="0"/>
    <x v="18"/>
    <x v="12"/>
    <x v="7"/>
    <n v="111"/>
    <x v="4"/>
  </r>
  <r>
    <x v="3"/>
    <d v="2025-02-01T00:00:00"/>
    <x v="0"/>
    <x v="0"/>
    <x v="19"/>
    <x v="13"/>
    <x v="7"/>
    <n v="2"/>
    <x v="6"/>
  </r>
  <r>
    <x v="3"/>
    <d v="2025-02-01T00:00:00"/>
    <x v="0"/>
    <x v="0"/>
    <x v="20"/>
    <x v="14"/>
    <x v="8"/>
    <n v="35"/>
    <x v="0"/>
  </r>
  <r>
    <x v="3"/>
    <d v="2025-02-01T00:00:00"/>
    <x v="0"/>
    <x v="0"/>
    <x v="21"/>
    <x v="14"/>
    <x v="9"/>
    <n v="3"/>
    <x v="0"/>
  </r>
  <r>
    <x v="3"/>
    <d v="2025-03-01T00:00:00"/>
    <x v="1"/>
    <x v="1"/>
    <x v="0"/>
    <x v="0"/>
    <x v="0"/>
    <n v="31"/>
    <x v="0"/>
  </r>
  <r>
    <x v="3"/>
    <d v="2025-03-01T00:00:00"/>
    <x v="1"/>
    <x v="1"/>
    <x v="1"/>
    <x v="0"/>
    <x v="1"/>
    <n v="36"/>
    <x v="0"/>
  </r>
  <r>
    <x v="3"/>
    <d v="2025-03-01T00:00:00"/>
    <x v="1"/>
    <x v="1"/>
    <x v="2"/>
    <x v="0"/>
    <x v="2"/>
    <n v="11"/>
    <x v="0"/>
  </r>
  <r>
    <x v="3"/>
    <d v="2025-03-01T00:00:00"/>
    <x v="1"/>
    <x v="1"/>
    <x v="3"/>
    <x v="0"/>
    <x v="3"/>
    <n v="19"/>
    <x v="0"/>
  </r>
  <r>
    <x v="3"/>
    <d v="2025-03-01T00:00:00"/>
    <x v="1"/>
    <x v="1"/>
    <x v="4"/>
    <x v="0"/>
    <x v="4"/>
    <n v="5"/>
    <x v="0"/>
  </r>
  <r>
    <x v="3"/>
    <d v="2025-03-01T00:00:00"/>
    <x v="1"/>
    <x v="1"/>
    <x v="5"/>
    <x v="1"/>
    <x v="5"/>
    <n v="30"/>
    <x v="0"/>
  </r>
  <r>
    <x v="3"/>
    <d v="2025-03-01T00:00:00"/>
    <x v="1"/>
    <x v="1"/>
    <x v="6"/>
    <x v="1"/>
    <x v="6"/>
    <n v="30"/>
    <x v="0"/>
  </r>
  <r>
    <x v="3"/>
    <d v="2025-03-01T00:00:00"/>
    <x v="1"/>
    <x v="1"/>
    <x v="22"/>
    <x v="15"/>
    <x v="7"/>
    <n v="6"/>
    <x v="0"/>
  </r>
  <r>
    <x v="3"/>
    <d v="2025-03-01T00:00:00"/>
    <x v="1"/>
    <x v="1"/>
    <x v="8"/>
    <x v="3"/>
    <x v="7"/>
    <n v="3"/>
    <x v="0"/>
  </r>
  <r>
    <x v="3"/>
    <d v="2025-03-01T00:00:00"/>
    <x v="1"/>
    <x v="1"/>
    <x v="10"/>
    <x v="5"/>
    <x v="7"/>
    <n v="8"/>
    <x v="0"/>
  </r>
  <r>
    <x v="3"/>
    <d v="2025-03-01T00:00:00"/>
    <x v="1"/>
    <x v="1"/>
    <x v="11"/>
    <x v="6"/>
    <x v="7"/>
    <n v="12"/>
    <x v="0"/>
  </r>
  <r>
    <x v="3"/>
    <d v="2025-03-01T00:00:00"/>
    <x v="1"/>
    <x v="1"/>
    <x v="12"/>
    <x v="7"/>
    <x v="7"/>
    <n v="3"/>
    <x v="0"/>
  </r>
  <r>
    <x v="3"/>
    <d v="2025-03-01T00:00:00"/>
    <x v="1"/>
    <x v="1"/>
    <x v="13"/>
    <x v="8"/>
    <x v="7"/>
    <n v="27"/>
    <x v="0"/>
  </r>
  <r>
    <x v="3"/>
    <d v="2025-03-01T00:00:00"/>
    <x v="1"/>
    <x v="1"/>
    <x v="14"/>
    <x v="9"/>
    <x v="7"/>
    <n v="10"/>
    <x v="0"/>
  </r>
  <r>
    <x v="3"/>
    <d v="2025-03-01T00:00:00"/>
    <x v="1"/>
    <x v="1"/>
    <x v="15"/>
    <x v="0"/>
    <x v="7"/>
    <n v="5"/>
    <x v="0"/>
  </r>
  <r>
    <x v="3"/>
    <d v="2025-03-01T00:00:00"/>
    <x v="1"/>
    <x v="1"/>
    <x v="16"/>
    <x v="10"/>
    <x v="7"/>
    <n v="6"/>
    <x v="0"/>
  </r>
  <r>
    <x v="3"/>
    <d v="2025-03-01T00:00:00"/>
    <x v="1"/>
    <x v="1"/>
    <x v="17"/>
    <x v="11"/>
    <x v="7"/>
    <n v="4"/>
    <x v="0"/>
  </r>
  <r>
    <x v="3"/>
    <d v="2025-03-01T00:00:00"/>
    <x v="1"/>
    <x v="1"/>
    <x v="18"/>
    <x v="12"/>
    <x v="7"/>
    <n v="103"/>
    <x v="0"/>
  </r>
  <r>
    <x v="3"/>
    <d v="2025-03-01T00:00:00"/>
    <x v="1"/>
    <x v="1"/>
    <x v="19"/>
    <x v="13"/>
    <x v="7"/>
    <n v="12"/>
    <x v="0"/>
  </r>
  <r>
    <x v="3"/>
    <d v="2025-03-01T00:00:00"/>
    <x v="1"/>
    <x v="1"/>
    <x v="20"/>
    <x v="14"/>
    <x v="8"/>
    <n v="21"/>
    <x v="0"/>
  </r>
  <r>
    <x v="3"/>
    <d v="2025-03-01T00:00:00"/>
    <x v="1"/>
    <x v="1"/>
    <x v="21"/>
    <x v="14"/>
    <x v="9"/>
    <n v="1"/>
    <x v="0"/>
  </r>
  <r>
    <x v="3"/>
    <d v="2025-04-01T00:00:00"/>
    <x v="2"/>
    <x v="2"/>
    <x v="0"/>
    <x v="0"/>
    <x v="0"/>
    <n v="31"/>
    <x v="0"/>
  </r>
  <r>
    <x v="3"/>
    <d v="2025-04-01T00:00:00"/>
    <x v="2"/>
    <x v="2"/>
    <x v="1"/>
    <x v="0"/>
    <x v="1"/>
    <n v="37"/>
    <x v="0"/>
  </r>
  <r>
    <x v="3"/>
    <d v="2025-04-01T00:00:00"/>
    <x v="2"/>
    <x v="2"/>
    <x v="2"/>
    <x v="0"/>
    <x v="2"/>
    <n v="22"/>
    <x v="0"/>
  </r>
  <r>
    <x v="3"/>
    <d v="2025-04-01T00:00:00"/>
    <x v="2"/>
    <x v="2"/>
    <x v="3"/>
    <x v="0"/>
    <x v="3"/>
    <n v="20"/>
    <x v="0"/>
  </r>
  <r>
    <x v="3"/>
    <d v="2025-04-01T00:00:00"/>
    <x v="2"/>
    <x v="2"/>
    <x v="4"/>
    <x v="0"/>
    <x v="4"/>
    <n v="8"/>
    <x v="0"/>
  </r>
  <r>
    <x v="3"/>
    <d v="2025-04-01T00:00:00"/>
    <x v="2"/>
    <x v="2"/>
    <x v="5"/>
    <x v="1"/>
    <x v="5"/>
    <n v="40"/>
    <x v="0"/>
  </r>
  <r>
    <x v="3"/>
    <d v="2025-04-01T00:00:00"/>
    <x v="2"/>
    <x v="2"/>
    <x v="6"/>
    <x v="1"/>
    <x v="6"/>
    <n v="16"/>
    <x v="0"/>
  </r>
  <r>
    <x v="3"/>
    <d v="2025-04-01T00:00:00"/>
    <x v="2"/>
    <x v="2"/>
    <x v="22"/>
    <x v="15"/>
    <x v="7"/>
    <n v="6"/>
    <x v="0"/>
  </r>
  <r>
    <x v="3"/>
    <d v="2025-04-01T00:00:00"/>
    <x v="2"/>
    <x v="2"/>
    <x v="8"/>
    <x v="3"/>
    <x v="7"/>
    <n v="2"/>
    <x v="0"/>
  </r>
  <r>
    <x v="3"/>
    <d v="2025-04-01T00:00:00"/>
    <x v="2"/>
    <x v="2"/>
    <x v="23"/>
    <x v="16"/>
    <x v="7"/>
    <n v="6"/>
    <x v="0"/>
  </r>
  <r>
    <x v="3"/>
    <d v="2025-04-01T00:00:00"/>
    <x v="2"/>
    <x v="2"/>
    <x v="10"/>
    <x v="5"/>
    <x v="7"/>
    <n v="8"/>
    <x v="0"/>
  </r>
  <r>
    <x v="3"/>
    <d v="2025-04-01T00:00:00"/>
    <x v="2"/>
    <x v="2"/>
    <x v="11"/>
    <x v="6"/>
    <x v="7"/>
    <n v="10"/>
    <x v="0"/>
  </r>
  <r>
    <x v="3"/>
    <d v="2025-04-01T00:00:00"/>
    <x v="2"/>
    <x v="2"/>
    <x v="12"/>
    <x v="7"/>
    <x v="7"/>
    <n v="5"/>
    <x v="0"/>
  </r>
  <r>
    <x v="3"/>
    <d v="2025-04-01T00:00:00"/>
    <x v="2"/>
    <x v="2"/>
    <x v="13"/>
    <x v="8"/>
    <x v="7"/>
    <n v="24"/>
    <x v="0"/>
  </r>
  <r>
    <x v="3"/>
    <d v="2025-04-01T00:00:00"/>
    <x v="2"/>
    <x v="2"/>
    <x v="14"/>
    <x v="9"/>
    <x v="7"/>
    <n v="8"/>
    <x v="0"/>
  </r>
  <r>
    <x v="3"/>
    <d v="2025-04-01T00:00:00"/>
    <x v="2"/>
    <x v="2"/>
    <x v="15"/>
    <x v="0"/>
    <x v="7"/>
    <n v="4"/>
    <x v="0"/>
  </r>
  <r>
    <x v="3"/>
    <d v="2025-04-01T00:00:00"/>
    <x v="2"/>
    <x v="2"/>
    <x v="16"/>
    <x v="10"/>
    <x v="7"/>
    <n v="2"/>
    <x v="0"/>
  </r>
  <r>
    <x v="3"/>
    <d v="2025-04-01T00:00:00"/>
    <x v="2"/>
    <x v="2"/>
    <x v="17"/>
    <x v="11"/>
    <x v="7"/>
    <n v="2"/>
    <x v="0"/>
  </r>
  <r>
    <x v="3"/>
    <d v="2025-04-01T00:00:00"/>
    <x v="2"/>
    <x v="2"/>
    <x v="18"/>
    <x v="12"/>
    <x v="7"/>
    <n v="81"/>
    <x v="0"/>
  </r>
  <r>
    <x v="3"/>
    <d v="2025-04-01T00:00:00"/>
    <x v="2"/>
    <x v="2"/>
    <x v="19"/>
    <x v="13"/>
    <x v="7"/>
    <n v="14"/>
    <x v="0"/>
  </r>
  <r>
    <x v="3"/>
    <d v="2025-04-01T00:00:00"/>
    <x v="2"/>
    <x v="2"/>
    <x v="20"/>
    <x v="14"/>
    <x v="8"/>
    <n v="14"/>
    <x v="0"/>
  </r>
  <r>
    <x v="3"/>
    <d v="2025-04-01T00:00:00"/>
    <x v="2"/>
    <x v="2"/>
    <x v="21"/>
    <x v="14"/>
    <x v="9"/>
    <n v="1"/>
    <x v="0"/>
  </r>
  <r>
    <x v="3"/>
    <d v="2025-04-01T00:00:00"/>
    <x v="2"/>
    <x v="2"/>
    <x v="24"/>
    <x v="17"/>
    <x v="7"/>
    <m/>
    <x v="0"/>
  </r>
  <r>
    <x v="3"/>
    <d v="2025-05-01T00:00:00"/>
    <x v="3"/>
    <x v="3"/>
    <x v="0"/>
    <x v="0"/>
    <x v="0"/>
    <m/>
    <x v="0"/>
  </r>
  <r>
    <x v="3"/>
    <d v="2025-05-01T00:00:00"/>
    <x v="3"/>
    <x v="3"/>
    <x v="1"/>
    <x v="0"/>
    <x v="1"/>
    <m/>
    <x v="0"/>
  </r>
  <r>
    <x v="3"/>
    <d v="2025-05-01T00:00:00"/>
    <x v="3"/>
    <x v="3"/>
    <x v="2"/>
    <x v="0"/>
    <x v="2"/>
    <m/>
    <x v="0"/>
  </r>
  <r>
    <x v="3"/>
    <d v="2025-05-01T00:00:00"/>
    <x v="3"/>
    <x v="3"/>
    <x v="3"/>
    <x v="0"/>
    <x v="3"/>
    <m/>
    <x v="0"/>
  </r>
  <r>
    <x v="3"/>
    <d v="2025-05-01T00:00:00"/>
    <x v="3"/>
    <x v="3"/>
    <x v="4"/>
    <x v="0"/>
    <x v="4"/>
    <m/>
    <x v="0"/>
  </r>
  <r>
    <x v="3"/>
    <d v="2025-05-01T00:00:00"/>
    <x v="3"/>
    <x v="3"/>
    <x v="5"/>
    <x v="1"/>
    <x v="5"/>
    <m/>
    <x v="0"/>
  </r>
  <r>
    <x v="3"/>
    <d v="2025-05-01T00:00:00"/>
    <x v="3"/>
    <x v="3"/>
    <x v="6"/>
    <x v="1"/>
    <x v="6"/>
    <m/>
    <x v="0"/>
  </r>
  <r>
    <x v="3"/>
    <d v="2025-05-01T00:00:00"/>
    <x v="3"/>
    <x v="3"/>
    <x v="22"/>
    <x v="15"/>
    <x v="7"/>
    <m/>
    <x v="0"/>
  </r>
  <r>
    <x v="3"/>
    <d v="2025-05-01T00:00:00"/>
    <x v="3"/>
    <x v="3"/>
    <x v="8"/>
    <x v="3"/>
    <x v="7"/>
    <m/>
    <x v="0"/>
  </r>
  <r>
    <x v="3"/>
    <d v="2025-05-01T00:00:00"/>
    <x v="3"/>
    <x v="3"/>
    <x v="9"/>
    <x v="4"/>
    <x v="7"/>
    <m/>
    <x v="0"/>
  </r>
  <r>
    <x v="3"/>
    <d v="2025-05-01T00:00:00"/>
    <x v="3"/>
    <x v="3"/>
    <x v="10"/>
    <x v="5"/>
    <x v="7"/>
    <m/>
    <x v="0"/>
  </r>
  <r>
    <x v="3"/>
    <d v="2025-05-01T00:00:00"/>
    <x v="3"/>
    <x v="3"/>
    <x v="11"/>
    <x v="6"/>
    <x v="7"/>
    <m/>
    <x v="0"/>
  </r>
  <r>
    <x v="3"/>
    <d v="2025-05-01T00:00:00"/>
    <x v="3"/>
    <x v="3"/>
    <x v="12"/>
    <x v="7"/>
    <x v="7"/>
    <m/>
    <x v="0"/>
  </r>
  <r>
    <x v="3"/>
    <d v="2025-05-01T00:00:00"/>
    <x v="3"/>
    <x v="3"/>
    <x v="13"/>
    <x v="8"/>
    <x v="7"/>
    <m/>
    <x v="0"/>
  </r>
  <r>
    <x v="3"/>
    <d v="2025-05-01T00:00:00"/>
    <x v="3"/>
    <x v="3"/>
    <x v="14"/>
    <x v="9"/>
    <x v="7"/>
    <m/>
    <x v="0"/>
  </r>
  <r>
    <x v="3"/>
    <d v="2025-05-01T00:00:00"/>
    <x v="3"/>
    <x v="3"/>
    <x v="15"/>
    <x v="0"/>
    <x v="7"/>
    <m/>
    <x v="0"/>
  </r>
  <r>
    <x v="3"/>
    <d v="2025-05-01T00:00:00"/>
    <x v="3"/>
    <x v="3"/>
    <x v="16"/>
    <x v="10"/>
    <x v="7"/>
    <m/>
    <x v="0"/>
  </r>
  <r>
    <x v="3"/>
    <d v="2025-05-01T00:00:00"/>
    <x v="3"/>
    <x v="3"/>
    <x v="17"/>
    <x v="11"/>
    <x v="7"/>
    <m/>
    <x v="0"/>
  </r>
  <r>
    <x v="3"/>
    <d v="2025-05-01T00:00:00"/>
    <x v="3"/>
    <x v="3"/>
    <x v="18"/>
    <x v="12"/>
    <x v="7"/>
    <m/>
    <x v="0"/>
  </r>
  <r>
    <x v="3"/>
    <d v="2025-05-01T00:00:00"/>
    <x v="3"/>
    <x v="3"/>
    <x v="19"/>
    <x v="13"/>
    <x v="7"/>
    <m/>
    <x v="0"/>
  </r>
  <r>
    <x v="3"/>
    <d v="2025-05-01T00:00:00"/>
    <x v="3"/>
    <x v="3"/>
    <x v="20"/>
    <x v="14"/>
    <x v="8"/>
    <m/>
    <x v="0"/>
  </r>
  <r>
    <x v="3"/>
    <d v="2025-05-01T00:00:00"/>
    <x v="3"/>
    <x v="3"/>
    <x v="21"/>
    <x v="14"/>
    <x v="9"/>
    <m/>
    <x v="0"/>
  </r>
  <r>
    <x v="3"/>
    <d v="2025-05-01T00:00:00"/>
    <x v="3"/>
    <x v="3"/>
    <x v="24"/>
    <x v="17"/>
    <x v="7"/>
    <m/>
    <x v="0"/>
  </r>
  <r>
    <x v="3"/>
    <d v="2025-06-01T00:00:00"/>
    <x v="4"/>
    <x v="4"/>
    <x v="0"/>
    <x v="0"/>
    <x v="0"/>
    <m/>
    <x v="0"/>
  </r>
  <r>
    <x v="3"/>
    <d v="2025-06-01T00:00:00"/>
    <x v="4"/>
    <x v="4"/>
    <x v="1"/>
    <x v="0"/>
    <x v="1"/>
    <m/>
    <x v="0"/>
  </r>
  <r>
    <x v="3"/>
    <d v="2025-06-01T00:00:00"/>
    <x v="4"/>
    <x v="4"/>
    <x v="2"/>
    <x v="0"/>
    <x v="2"/>
    <m/>
    <x v="0"/>
  </r>
  <r>
    <x v="3"/>
    <d v="2025-06-01T00:00:00"/>
    <x v="4"/>
    <x v="4"/>
    <x v="3"/>
    <x v="0"/>
    <x v="3"/>
    <m/>
    <x v="0"/>
  </r>
  <r>
    <x v="3"/>
    <d v="2025-06-01T00:00:00"/>
    <x v="4"/>
    <x v="4"/>
    <x v="4"/>
    <x v="0"/>
    <x v="4"/>
    <m/>
    <x v="0"/>
  </r>
  <r>
    <x v="3"/>
    <d v="2025-06-01T00:00:00"/>
    <x v="4"/>
    <x v="4"/>
    <x v="5"/>
    <x v="1"/>
    <x v="5"/>
    <m/>
    <x v="0"/>
  </r>
  <r>
    <x v="3"/>
    <d v="2025-06-01T00:00:00"/>
    <x v="4"/>
    <x v="4"/>
    <x v="6"/>
    <x v="1"/>
    <x v="6"/>
    <m/>
    <x v="0"/>
  </r>
  <r>
    <x v="3"/>
    <d v="2025-06-01T00:00:00"/>
    <x v="4"/>
    <x v="4"/>
    <x v="22"/>
    <x v="15"/>
    <x v="7"/>
    <m/>
    <x v="0"/>
  </r>
  <r>
    <x v="3"/>
    <d v="2025-06-01T00:00:00"/>
    <x v="4"/>
    <x v="4"/>
    <x v="8"/>
    <x v="3"/>
    <x v="7"/>
    <m/>
    <x v="0"/>
  </r>
  <r>
    <x v="3"/>
    <d v="2025-06-01T00:00:00"/>
    <x v="4"/>
    <x v="4"/>
    <x v="9"/>
    <x v="4"/>
    <x v="7"/>
    <m/>
    <x v="0"/>
  </r>
  <r>
    <x v="3"/>
    <d v="2025-06-01T00:00:00"/>
    <x v="4"/>
    <x v="4"/>
    <x v="10"/>
    <x v="5"/>
    <x v="7"/>
    <m/>
    <x v="0"/>
  </r>
  <r>
    <x v="3"/>
    <d v="2025-06-01T00:00:00"/>
    <x v="4"/>
    <x v="4"/>
    <x v="11"/>
    <x v="6"/>
    <x v="7"/>
    <m/>
    <x v="0"/>
  </r>
  <r>
    <x v="3"/>
    <d v="2025-06-01T00:00:00"/>
    <x v="4"/>
    <x v="4"/>
    <x v="12"/>
    <x v="7"/>
    <x v="7"/>
    <m/>
    <x v="0"/>
  </r>
  <r>
    <x v="3"/>
    <d v="2025-06-01T00:00:00"/>
    <x v="4"/>
    <x v="4"/>
    <x v="13"/>
    <x v="8"/>
    <x v="7"/>
    <m/>
    <x v="0"/>
  </r>
  <r>
    <x v="3"/>
    <d v="2025-06-01T00:00:00"/>
    <x v="4"/>
    <x v="4"/>
    <x v="14"/>
    <x v="9"/>
    <x v="7"/>
    <m/>
    <x v="0"/>
  </r>
  <r>
    <x v="3"/>
    <d v="2025-06-01T00:00:00"/>
    <x v="4"/>
    <x v="4"/>
    <x v="15"/>
    <x v="0"/>
    <x v="7"/>
    <m/>
    <x v="0"/>
  </r>
  <r>
    <x v="3"/>
    <d v="2025-06-01T00:00:00"/>
    <x v="4"/>
    <x v="4"/>
    <x v="16"/>
    <x v="10"/>
    <x v="7"/>
    <m/>
    <x v="0"/>
  </r>
  <r>
    <x v="3"/>
    <d v="2025-06-01T00:00:00"/>
    <x v="4"/>
    <x v="4"/>
    <x v="17"/>
    <x v="11"/>
    <x v="7"/>
    <m/>
    <x v="0"/>
  </r>
  <r>
    <x v="3"/>
    <d v="2025-06-01T00:00:00"/>
    <x v="4"/>
    <x v="4"/>
    <x v="18"/>
    <x v="12"/>
    <x v="7"/>
    <m/>
    <x v="0"/>
  </r>
  <r>
    <x v="3"/>
    <d v="2025-06-01T00:00:00"/>
    <x v="4"/>
    <x v="4"/>
    <x v="19"/>
    <x v="13"/>
    <x v="7"/>
    <m/>
    <x v="0"/>
  </r>
  <r>
    <x v="3"/>
    <d v="2025-06-01T00:00:00"/>
    <x v="4"/>
    <x v="4"/>
    <x v="20"/>
    <x v="14"/>
    <x v="8"/>
    <m/>
    <x v="0"/>
  </r>
  <r>
    <x v="3"/>
    <d v="2025-06-01T00:00:00"/>
    <x v="4"/>
    <x v="4"/>
    <x v="21"/>
    <x v="14"/>
    <x v="9"/>
    <m/>
    <x v="0"/>
  </r>
  <r>
    <x v="3"/>
    <d v="2025-06-01T00:00:00"/>
    <x v="4"/>
    <x v="4"/>
    <x v="24"/>
    <x v="17"/>
    <x v="7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21982-C3D2-4499-90C8-BEED26947765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85:AA106" firstHeaderRow="1" firstDataRow="3" firstDataCol="1"/>
  <pivotFields count="9"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9"/>
        <item x="1"/>
        <item x="0"/>
        <item x="11"/>
        <item x="13"/>
        <item x="12"/>
        <item x="16"/>
        <item x="3"/>
        <item x="6"/>
        <item x="15"/>
        <item x="2"/>
        <item x="10"/>
        <item x="17"/>
        <item x="14"/>
        <item x="8"/>
        <item x="4"/>
        <item x="5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"/>
    <field x="0"/>
  </colFields>
  <colItems count="2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 t="grand">
      <x/>
    </i>
  </colItems>
  <dataFields count="1">
    <dataField name="Suma de CANTIDAD DE ALUMNOS " fld="7" baseField="0" baseItem="0"/>
  </dataFields>
  <formats count="4">
    <format dxfId="24">
      <pivotArea dataOnly="0" labelOnly="1" outline="0" fieldPosition="0">
        <references count="1">
          <reference field="5" count="1">
            <x v="5"/>
          </reference>
        </references>
      </pivotArea>
    </format>
    <format dxfId="23">
      <pivotArea dataOnly="0" labelOnly="1" outline="0" fieldPosition="0">
        <references count="1">
          <reference field="5" count="1">
            <x v="2"/>
          </reference>
        </references>
      </pivotArea>
    </format>
    <format dxfId="22">
      <pivotArea dataOnly="0" labelOnly="1" outline="0" fieldPosition="0">
        <references count="1">
          <reference field="5" count="1">
            <x v="1"/>
          </reference>
        </references>
      </pivotArea>
    </format>
    <format dxfId="21">
      <pivotArea dataOnly="0" labelOnly="1" outline="0" fieldPosition="0">
        <references count="1">
          <reference field="5" count="1">
            <x v="13"/>
          </reference>
        </references>
      </pivotArea>
    </format>
  </formats>
  <conditionalFormats count="6">
    <conditionalFormat priority="10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1" selected="0">
              <x v="3"/>
            </reference>
            <reference field="3" count="1" selected="0">
              <x v="0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3" count="1" selected="0">
              <x v="0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3" count="1" selected="0">
              <x v="1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3" count="1" selected="0">
              <x v="2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3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5">
      <pivotAreas count="1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20"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06912-CFFD-4513-85CA-567C8A1A125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1">
  <location ref="A25:B35" firstHeaderRow="1" firstDataRow="1" firstDataCol="1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">
        <item h="1" x="7"/>
        <item x="2"/>
        <item x="0"/>
        <item m="1" x="10"/>
        <item x="3"/>
        <item x="9"/>
        <item x="8"/>
        <item x="5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0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EO DE ALUMNOS " fld="7" baseField="6" baseItem="1"/>
  </dataFields>
  <conditionalFormats count="2">
    <conditionalFormat priority="2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5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9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9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9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9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9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D9F66-17CC-4ACA-8F00-E3F77C4D422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74:F80" firstHeaderRow="1" firstDataRow="2" firstDataCol="1"/>
  <pivotFields count="9"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1"/>
        <item x="2"/>
        <item x="3"/>
        <item h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CANTIDAD DE ALUMNOS " fld="7" baseField="0" baseItem="0"/>
  </dataFields>
  <formats count="5">
    <format dxfId="29">
      <pivotArea outline="0" fieldPosition="0">
        <references count="2">
          <reference field="0" count="1" selected="0">
            <x v="1"/>
          </reference>
          <reference field="3" count="1" selected="0">
            <x v="1"/>
          </reference>
        </references>
      </pivotArea>
    </format>
    <format dxfId="28">
      <pivotArea outline="0" fieldPosition="0">
        <references count="2">
          <reference field="0" count="1" selected="0">
            <x v="0"/>
          </reference>
          <reference field="3" count="1" selected="0">
            <x v="2"/>
          </reference>
        </references>
      </pivotArea>
    </format>
    <format dxfId="27">
      <pivotArea outline="0" fieldPosition="0">
        <references count="2">
          <reference field="0" count="1" selected="0">
            <x v="2"/>
          </reference>
          <reference field="3" count="1" selected="0">
            <x v="1"/>
          </reference>
        </references>
      </pivotArea>
    </format>
    <format dxfId="26">
      <pivotArea outline="0" fieldPosition="0">
        <references count="2">
          <reference field="0" count="1" selected="0">
            <x v="3"/>
          </reference>
          <reference field="3" count="1" selected="0">
            <x v="1"/>
          </reference>
        </references>
      </pivotArea>
    </format>
    <format dxfId="25">
      <pivotArea field="3" grandCol="1" outline="0" axis="axisRow" fieldPosition="0">
        <references count="1">
          <reference field="3" count="1" selected="0">
            <x v="1"/>
          </reference>
        </references>
      </pivotArea>
    </format>
  </formats>
  <conditionalFormats count="9">
    <conditionalFormat priority="2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9">
      <pivotAreas count="1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2" selected="0">
              <x v="2"/>
              <x v="3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04E62-AEAF-446B-B969-902310482301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110:V122" firstHeaderRow="1" firstDataRow="3" firstDataCol="1"/>
  <pivotFields count="9">
    <pivotField axis="axisCol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h="1" x="7"/>
        <item x="2"/>
        <item x="0"/>
        <item m="1" x="10"/>
        <item x="3"/>
        <item x="9"/>
        <item x="8"/>
        <item x="5"/>
        <item x="1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0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0"/>
  </colFields>
  <colItems count="21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 t="grand">
      <x/>
    </i>
  </colItems>
  <dataFields count="1">
    <dataField name="Suma de CANTIDAD DE ALUMNOS " fld="7" baseField="0" baseItem="0"/>
  </dataFields>
  <formats count="12">
    <format dxfId="41">
      <pivotArea dataOnly="0" labelOnly="1" outline="0" fieldPosition="0">
        <references count="1">
          <reference field="6" count="1">
            <x v="9"/>
          </reference>
        </references>
      </pivotArea>
    </format>
    <format dxfId="40">
      <pivotArea dataOnly="0" labelOnly="1" outline="0" fieldPosition="0">
        <references count="1">
          <reference field="6" count="1">
            <x v="5"/>
          </reference>
        </references>
      </pivotArea>
    </format>
    <format dxfId="39">
      <pivotArea dataOnly="0" labelOnly="1" outline="0" fieldPosition="0">
        <references count="1">
          <reference field="6" count="1">
            <x v="8"/>
          </reference>
        </references>
      </pivotArea>
    </format>
    <format dxfId="38">
      <pivotArea dataOnly="0" labelOnly="1" outline="0" fieldPosition="0">
        <references count="1">
          <reference field="6" count="1">
            <x v="7"/>
          </reference>
        </references>
      </pivotArea>
    </format>
    <format dxfId="37">
      <pivotArea outline="0" fieldPosition="0">
        <references count="1">
          <reference field="6" count="1" selected="0">
            <x v="8"/>
          </reference>
        </references>
      </pivotArea>
    </format>
    <format dxfId="36">
      <pivotArea dataOnly="0" labelOnly="1" outline="0" fieldPosition="0">
        <references count="1">
          <reference field="6" count="1">
            <x v="8"/>
          </reference>
        </references>
      </pivotArea>
    </format>
    <format dxfId="35">
      <pivotArea outline="0" fieldPosition="0">
        <references count="1">
          <reference field="6" count="1" selected="0">
            <x v="7"/>
          </reference>
        </references>
      </pivotArea>
    </format>
    <format dxfId="34">
      <pivotArea dataOnly="0" labelOnly="1" outline="0" fieldPosition="0">
        <references count="1">
          <reference field="6" count="1">
            <x v="7"/>
          </reference>
        </references>
      </pivotArea>
    </format>
    <format dxfId="33">
      <pivotArea outline="0" fieldPosition="0">
        <references count="1">
          <reference field="6" count="1" selected="0">
            <x v="9"/>
          </reference>
        </references>
      </pivotArea>
    </format>
    <format dxfId="32">
      <pivotArea dataOnly="0" labelOnly="1" outline="0" fieldPosition="0">
        <references count="1">
          <reference field="6" count="1">
            <x v="9"/>
          </reference>
        </references>
      </pivotArea>
    </format>
    <format dxfId="31">
      <pivotArea outline="0" fieldPosition="0">
        <references count="1">
          <reference field="6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6" count="1">
            <x v="5"/>
          </reference>
        </references>
      </pivotArea>
    </format>
  </formats>
  <conditionalFormats count="3">
    <conditionalFormat priority="3">
      <pivotAreas count="2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2" selected="0">
              <x v="2"/>
              <x v="3"/>
            </reference>
            <reference field="3" count="1" selected="0">
              <x v="0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3" count="4" selected="0">
              <x v="1"/>
              <x v="2"/>
              <x v="3"/>
              <x v="4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1">
      <pivotAreas count="1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6" count="9" selected="0">
              <x v="1"/>
              <x v="2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10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1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1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1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1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1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1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1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1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1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1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1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1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1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  <chartFormat chart="3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3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3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3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3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  <chartFormat chart="5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5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5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5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5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5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5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5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5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5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5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5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5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5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5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5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5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5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5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5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D0949-4B11-4504-8503-A9FA887CCB8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">
  <location ref="A2:B21" firstHeaderRow="1" firstDataRow="1" firstDataCol="1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9"/>
        <item x="1"/>
        <item x="0"/>
        <item x="11"/>
        <item x="13"/>
        <item x="12"/>
        <item x="16"/>
        <item x="3"/>
        <item x="6"/>
        <item x="15"/>
        <item x="2"/>
        <item x="10"/>
        <item x="17"/>
        <item x="14"/>
        <item x="8"/>
        <item x="4"/>
        <item x="5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EO DE ALUMNOS " fld="7" baseField="5" baseItem="0"/>
  </dataFields>
  <conditionalFormats count="2">
    <conditionalFormat priority="2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BA8E4-E69F-49D4-98EA-AEE5E1B14CE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50:L70" firstHeaderRow="1" firstDataRow="2" firstDataCol="1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4"/>
        <item x="6"/>
        <item x="5"/>
        <item x="25"/>
        <item x="2"/>
        <item x="0"/>
        <item x="15"/>
        <item x="3"/>
        <item x="1"/>
        <item x="4"/>
        <item x="17"/>
        <item x="19"/>
        <item x="18"/>
        <item x="23"/>
        <item x="8"/>
        <item x="11"/>
        <item x="22"/>
        <item x="7"/>
        <item x="16"/>
        <item x="24"/>
        <item x="21"/>
        <item x="20"/>
        <item x="13"/>
        <item x="9"/>
        <item x="10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9"/>
        <item x="1"/>
        <item x="0"/>
        <item x="11"/>
        <item x="13"/>
        <item x="12"/>
        <item x="16"/>
        <item x="3"/>
        <item x="6"/>
        <item x="15"/>
        <item x="2"/>
        <item x="10"/>
        <item x="17"/>
        <item x="14"/>
        <item x="8"/>
        <item x="4"/>
        <item x="5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2">
        <item x="7"/>
        <item x="2"/>
        <item x="0"/>
        <item m="1" x="10"/>
        <item x="3"/>
        <item x="9"/>
        <item x="8"/>
        <item x="5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6"/>
  </colFields>
  <colItems count="1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CANTIDAD DE ALUMNOS " fld="7" baseField="0" baseItem="0"/>
  </dataFields>
  <formats count="2">
    <format dxfId="43">
      <pivotArea outline="0" fieldPosition="0">
        <references count="1">
          <reference field="5" count="0" selected="0"/>
        </references>
      </pivotArea>
    </format>
    <format dxfId="42">
      <pivotArea outline="0" fieldPosition="0">
        <references count="1">
          <reference field="5" count="0" selected="0"/>
        </references>
      </pivotArea>
    </format>
  </formats>
  <chartFormats count="10"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86E34-5F82-439E-8922-BCAE1A9EAE0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40:B46" firstHeaderRow="1" firstDataRow="1" firstDataCol="1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EO DE ALUMNOS " fld="7" baseField="3" baseItem="0"/>
  </dataFields>
  <conditionalFormats count="2">
    <conditionalFormat priority="2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6C0290-9F6F-4D8C-9ABD-8C121CD0D323}" name="actividad" displayName="actividad" ref="B2:I20" totalsRowShown="0" headerRowDxfId="49">
  <autoFilter ref="B2:I20" xr:uid="{EE6C0290-9F6F-4D8C-9ABD-8C121CD0D323}"/>
  <tableColumns count="8">
    <tableColumn id="1" xr3:uid="{46290A35-C151-455B-8F1E-77E10E428A38}" name="N°"/>
    <tableColumn id="2" xr3:uid="{7B109DCC-ED38-4020-816B-12C824F9C1E3}" name="ACTIVIDAD">
      <calculatedColumnFormula>UPPER(actividad[[#This Row],[ACTIVIDAD]])</calculatedColumnFormula>
    </tableColumn>
    <tableColumn id="9" xr3:uid="{B11B1099-AF3A-48ED-9DA7-6D60C5320F9D}" name="DESDE"/>
    <tableColumn id="10" xr3:uid="{2EA42D90-16F1-40BC-A456-CC33B88A844A}" name="HASTA"/>
    <tableColumn id="8" xr3:uid="{5A76B04E-3748-423F-B83F-EBB0DAF07ECE}" name="ACTIVA/ INACTIVA"/>
    <tableColumn id="5" xr3:uid="{690367AA-7488-49AB-B1DF-825E765E6EE8}" name="DIAS"/>
    <tableColumn id="6" xr3:uid="{4B67A01F-5870-4329-87D3-9D233E4F4C84}" name="HORARIOS"/>
    <tableColumn id="7" xr3:uid="{A985BE39-068D-4D4D-91FA-65F488E011B3}" name="CU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CA96C3-FB72-4AEB-B4C9-604BC41325D8}" name="profesor" displayName="profesor" ref="B2:F11" totalsRowShown="0" headerRowDxfId="48">
  <autoFilter ref="B2:F11" xr:uid="{80CA96C3-FB72-4AEB-B4C9-604BC41325D8}"/>
  <tableColumns count="5">
    <tableColumn id="1" xr3:uid="{067E2660-DDA2-449C-B655-C81570F7DA9D}" name="N°"/>
    <tableColumn id="2" xr3:uid="{63A7A95E-FD9E-4954-B204-25FF0147B647}" name="PROFESOR"/>
    <tableColumn id="3" xr3:uid="{6C4D2301-EEBF-4A5B-924C-BE69D0B404E2}" name="ACTIVIDAD"/>
    <tableColumn id="4" xr3:uid="{93DEF387-B64F-466C-9EA0-5ED9A98FD73E}" name="HORARIO"/>
    <tableColumn id="5" xr3:uid="{4FAFE2A6-D8B8-41DB-A0D1-9BB98EDB17C4}" name="CONTA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BB2D3-0328-411E-A75D-27B4DAC1D0BA}" name="A" displayName="A" ref="A1:I443" totalsRowShown="0" headerRowDxfId="47">
  <autoFilter ref="A1:I443" xr:uid="{D7ABB2D3-0328-411E-A75D-27B4DAC1D0BA}"/>
  <sortState xmlns:xlrd2="http://schemas.microsoft.com/office/spreadsheetml/2017/richdata2" ref="A2:I443">
    <sortCondition ref="A1:A443"/>
  </sortState>
  <tableColumns count="9">
    <tableColumn id="1" xr3:uid="{71B344E3-4144-4358-9939-803613994A9A}" name="SEMANA" dataDxfId="46">
      <calculatedColumnFormula>A1</calculatedColumnFormula>
    </tableColumn>
    <tableColumn id="2" xr3:uid="{38B3C522-16C9-46BD-843A-5B99CF352584}" name="FECHA" dataDxfId="45"/>
    <tableColumn id="3" xr3:uid="{C3976C93-7642-434A-9182-BC9DA9E7B8A3}" name="MES NUMERO" dataDxfId="44">
      <calculatedColumnFormula>TEXT(B2,"mm")</calculatedColumnFormula>
    </tableColumn>
    <tableColumn id="4" xr3:uid="{81A74D23-38B3-4AD0-960A-575E00B5CCBE}" name="MES NOMBRE">
      <calculatedColumnFormula>UPPER(TEXT(B2,"mmmm"))</calculatedColumnFormula>
    </tableColumn>
    <tableColumn id="5" xr3:uid="{8C29A4A9-274A-48DB-9736-16FFBB7D9778}" name="ACTIVIDAD"/>
    <tableColumn id="6" xr3:uid="{826DAD1C-E561-4CBB-961D-FD9F524E89B6}" name="ACTIVIDAD GLOBAL">
      <calculatedColumnFormula>_xlfn.XLOOKUP(E2,MAPEO!$B:$B,MAPEO!$C:$C,"",0)</calculatedColumnFormula>
    </tableColumn>
    <tableColumn id="7" xr3:uid="{82BF236E-60B5-4B74-A988-60069A9ACE74}" name="PROFESOR"/>
    <tableColumn id="8" xr3:uid="{D82EAA41-4E4F-47C5-B766-7CC9D838DDA8}" name="CANTIDAD DE ALUMNOS "/>
    <tableColumn id="9" xr3:uid="{647AC6F2-F278-4F2A-9EF7-CDC82D3A3D88}" name="OBSERVACION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EDD0-18CE-4CA6-AE25-AB1F25E0143A}">
  <sheetPr>
    <tabColor theme="6" tint="0.79998168889431442"/>
  </sheetPr>
  <dimension ref="A1:G26"/>
  <sheetViews>
    <sheetView workbookViewId="0">
      <selection activeCell="C11" sqref="C11"/>
    </sheetView>
  </sheetViews>
  <sheetFormatPr baseColWidth="10" defaultColWidth="0" defaultRowHeight="12.75" zeroHeight="1"/>
  <cols>
    <col min="1" max="1" width="3.7109375" style="50" customWidth="1"/>
    <col min="2" max="2" width="17.28515625" style="50" bestFit="1" customWidth="1"/>
    <col min="3" max="5" width="11.42578125" style="50" customWidth="1"/>
    <col min="6" max="6" width="15.5703125" style="50" customWidth="1"/>
    <col min="7" max="7" width="3.7109375" style="50" customWidth="1"/>
    <col min="8" max="16384" width="11.42578125" style="50" hidden="1"/>
  </cols>
  <sheetData>
    <row r="1" spans="1:6" ht="13.5" thickBot="1"/>
    <row r="2" spans="1:6" ht="17.25" thickTop="1" thickBot="1">
      <c r="B2" s="57" t="s">
        <v>76</v>
      </c>
      <c r="C2" s="58"/>
      <c r="D2" s="58"/>
      <c r="E2" s="58"/>
      <c r="F2" s="59"/>
    </row>
    <row r="3" spans="1:6" ht="13.5" thickTop="1">
      <c r="B3" s="51"/>
      <c r="C3" s="51"/>
      <c r="D3" s="51"/>
      <c r="E3" s="51"/>
      <c r="F3" s="51"/>
    </row>
    <row r="4" spans="1:6" ht="14.25">
      <c r="A4" s="33"/>
      <c r="B4" s="52" t="s">
        <v>82</v>
      </c>
      <c r="C4" s="60" t="s">
        <v>83</v>
      </c>
      <c r="D4" s="61"/>
      <c r="E4" s="61"/>
      <c r="F4" s="62"/>
    </row>
    <row r="5" spans="1:6">
      <c r="A5" s="33"/>
      <c r="B5" s="46" t="s">
        <v>77</v>
      </c>
      <c r="C5" s="63" t="s">
        <v>88</v>
      </c>
      <c r="D5" s="63"/>
      <c r="E5" s="63"/>
      <c r="F5" s="64"/>
    </row>
    <row r="6" spans="1:6">
      <c r="A6" s="33"/>
      <c r="B6" s="46" t="s">
        <v>78</v>
      </c>
      <c r="C6" s="63" t="s">
        <v>84</v>
      </c>
      <c r="D6" s="63"/>
      <c r="E6" s="63"/>
      <c r="F6" s="64"/>
    </row>
    <row r="7" spans="1:6">
      <c r="A7" s="33"/>
      <c r="B7" s="47" t="s">
        <v>79</v>
      </c>
      <c r="C7" s="65" t="s">
        <v>85</v>
      </c>
      <c r="D7" s="65"/>
      <c r="E7" s="65"/>
      <c r="F7" s="66"/>
    </row>
    <row r="8" spans="1:6">
      <c r="A8" s="33"/>
      <c r="B8" s="48" t="s">
        <v>80</v>
      </c>
      <c r="C8" s="67" t="s">
        <v>86</v>
      </c>
      <c r="D8" s="67"/>
      <c r="E8" s="67"/>
      <c r="F8" s="68"/>
    </row>
    <row r="9" spans="1:6" ht="13.5" thickBot="1">
      <c r="A9" s="33"/>
      <c r="B9" s="49" t="s">
        <v>81</v>
      </c>
      <c r="C9" s="54" t="s">
        <v>87</v>
      </c>
      <c r="D9" s="54"/>
      <c r="E9" s="54"/>
      <c r="F9" s="55"/>
    </row>
    <row r="10" spans="1:6" ht="13.5" thickTop="1">
      <c r="A10" s="33"/>
      <c r="B10" s="51"/>
      <c r="C10" s="51"/>
      <c r="D10" s="51"/>
      <c r="E10" s="51"/>
      <c r="F10" s="51"/>
    </row>
    <row r="11" spans="1:6">
      <c r="A11" s="33"/>
      <c r="B11" s="51"/>
      <c r="C11" s="51"/>
      <c r="D11" s="51"/>
      <c r="E11" s="51"/>
      <c r="F11" s="51"/>
    </row>
    <row r="12" spans="1:6">
      <c r="A12" s="33"/>
      <c r="B12" s="56" t="s">
        <v>89</v>
      </c>
      <c r="C12" s="56"/>
      <c r="D12" s="56"/>
      <c r="E12" s="56"/>
      <c r="F12" s="56"/>
    </row>
    <row r="13" spans="1:6"/>
    <row r="14" spans="1:6"/>
    <row r="17" s="50" customFormat="1" hidden="1"/>
    <row r="18" s="50" customFormat="1" hidden="1"/>
    <row r="19" s="50" customFormat="1" hidden="1"/>
    <row r="20" s="50" customFormat="1" hidden="1"/>
    <row r="21" s="50" customFormat="1" hidden="1"/>
    <row r="22" s="50" customFormat="1" hidden="1"/>
    <row r="23" s="50" customFormat="1" hidden="1"/>
    <row r="24" s="50" customFormat="1" hidden="1"/>
    <row r="25" s="50" customFormat="1" hidden="1"/>
    <row r="26" s="50" customFormat="1" hidden="1"/>
  </sheetData>
  <mergeCells count="8">
    <mergeCell ref="C9:F9"/>
    <mergeCell ref="B12:F12"/>
    <mergeCell ref="B2:F2"/>
    <mergeCell ref="C4:F4"/>
    <mergeCell ref="C5:F5"/>
    <mergeCell ref="C6:F6"/>
    <mergeCell ref="C7:F7"/>
    <mergeCell ref="C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D500-FCF9-457D-B639-A800747F5963}">
  <sheetPr>
    <tabColor theme="9" tint="0.39997558519241921"/>
  </sheetPr>
  <dimension ref="A2:I23"/>
  <sheetViews>
    <sheetView workbookViewId="0">
      <selection activeCell="D3" sqref="D3:K12"/>
    </sheetView>
  </sheetViews>
  <sheetFormatPr baseColWidth="10" defaultRowHeight="12.75"/>
  <cols>
    <col min="3" max="3" width="27.140625" customWidth="1"/>
    <col min="6" max="6" width="20.140625" bestFit="1" customWidth="1"/>
    <col min="8" max="8" width="13.140625" bestFit="1" customWidth="1"/>
    <col min="13" max="13" width="20.140625" bestFit="1" customWidth="1"/>
  </cols>
  <sheetData>
    <row r="2" spans="2:9">
      <c r="B2" s="18" t="s">
        <v>38</v>
      </c>
      <c r="C2" s="18" t="s">
        <v>0</v>
      </c>
      <c r="D2" s="18" t="s">
        <v>97</v>
      </c>
      <c r="E2" s="18" t="s">
        <v>98</v>
      </c>
      <c r="F2" s="18" t="s">
        <v>96</v>
      </c>
      <c r="G2" s="18" t="s">
        <v>93</v>
      </c>
      <c r="H2" s="18" t="s">
        <v>94</v>
      </c>
      <c r="I2" s="18" t="s">
        <v>95</v>
      </c>
    </row>
    <row r="3" spans="2:9">
      <c r="B3">
        <v>1</v>
      </c>
      <c r="C3" t="str">
        <f ca="1">UPPER(actividad[[#This Row],[ACTIVIDAD]])</f>
        <v>CALISTENIA</v>
      </c>
    </row>
    <row r="4" spans="2:9">
      <c r="B4">
        <v>2</v>
      </c>
      <c r="C4" t="str">
        <f ca="1">UPPER(actividad[[#This Row],[ACTIVIDAD]])</f>
        <v>BOXEO</v>
      </c>
    </row>
    <row r="5" spans="2:9">
      <c r="B5">
        <v>3</v>
      </c>
      <c r="C5" t="str">
        <f ca="1">UPPER(actividad[[#This Row],[ACTIVIDAD]])</f>
        <v>MMA+BOXEO</v>
      </c>
    </row>
    <row r="6" spans="2:9">
      <c r="B6">
        <v>4</v>
      </c>
      <c r="C6" t="str">
        <f ca="1">UPPER(actividad[[#This Row],[ACTIVIDAD]])</f>
        <v>KARATE</v>
      </c>
    </row>
    <row r="7" spans="2:9">
      <c r="B7">
        <v>5</v>
      </c>
      <c r="C7" t="str">
        <f ca="1">UPPER(actividad[[#This Row],[ACTIVIDAD]])</f>
        <v>TAEKWONDO</v>
      </c>
    </row>
    <row r="8" spans="2:9">
      <c r="B8">
        <v>6</v>
      </c>
      <c r="C8" t="str">
        <f ca="1">UPPER(actividad[[#This Row],[ACTIVIDAD]])</f>
        <v>TELA</v>
      </c>
    </row>
    <row r="9" spans="2:9">
      <c r="B9">
        <v>7</v>
      </c>
      <c r="C9" t="str">
        <f ca="1">UPPER(actividad[[#This Row],[ACTIVIDAD]])</f>
        <v>LYRA</v>
      </c>
    </row>
    <row r="10" spans="2:9">
      <c r="B10">
        <v>8</v>
      </c>
      <c r="C10" t="str">
        <f ca="1">UPPER(actividad[[#This Row],[ACTIVIDAD]])</f>
        <v>YOGA Y YOGA COLUMPIO</v>
      </c>
    </row>
    <row r="11" spans="2:9">
      <c r="B11">
        <v>9</v>
      </c>
      <c r="C11" t="str">
        <f ca="1">UPPER(actividad[[#This Row],[ACTIVIDAD]])</f>
        <v>POLE SPORT</v>
      </c>
    </row>
    <row r="12" spans="2:9">
      <c r="B12">
        <v>10</v>
      </c>
      <c r="C12" t="str">
        <f ca="1">UPPER(actividad[[#This Row],[ACTIVIDAD]])</f>
        <v>ACRO KIDS</v>
      </c>
    </row>
    <row r="13" spans="2:9">
      <c r="B13">
        <v>11</v>
      </c>
      <c r="C13" t="str">
        <f ca="1">UPPER(actividad[[#This Row],[ACTIVIDAD]])</f>
        <v>MOVIMIENTO CONSCIENTE</v>
      </c>
    </row>
    <row r="14" spans="2:9">
      <c r="B14">
        <v>12</v>
      </c>
      <c r="C14" t="str">
        <f ca="1">UPPER(actividad[[#This Row],[ACTIVIDAD]])</f>
        <v>CROSS TRANING</v>
      </c>
    </row>
    <row r="15" spans="2:9">
      <c r="B15">
        <v>13</v>
      </c>
      <c r="C15" t="str">
        <f ca="1">UPPER(actividad[[#This Row],[ACTIVIDAD]])</f>
        <v>FUNCIONAL</v>
      </c>
    </row>
    <row r="16" spans="2:9">
      <c r="B16">
        <v>14</v>
      </c>
      <c r="C16" t="str">
        <f ca="1">UPPER(actividad[[#This Row],[ACTIVIDAD]])</f>
        <v>EFA</v>
      </c>
    </row>
    <row r="17" spans="1:3">
      <c r="B17">
        <v>15</v>
      </c>
      <c r="C17" t="str">
        <f ca="1">UPPER(actividad[[#This Row],[ACTIVIDAD]])</f>
        <v>PERSONALIZADOS</v>
      </c>
    </row>
    <row r="18" spans="1:3">
      <c r="B18">
        <v>16</v>
      </c>
      <c r="C18" t="str">
        <f ca="1">UPPER(actividad[[#This Row],[ACTIVIDAD]])</f>
        <v xml:space="preserve">MMA </v>
      </c>
    </row>
    <row r="19" spans="1:3">
      <c r="B19">
        <v>17</v>
      </c>
      <c r="C19" t="str">
        <f ca="1">UPPER(actividad[[#This Row],[ACTIVIDAD]])</f>
        <v>JIU JITSU</v>
      </c>
    </row>
    <row r="20" spans="1:3">
      <c r="B20">
        <v>18</v>
      </c>
      <c r="C20" t="str">
        <f ca="1">UPPER(actividad[[#This Row],[ACTIVIDAD]])</f>
        <v>NUTRICION</v>
      </c>
    </row>
    <row r="23" spans="1:3">
      <c r="A23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1596-68C4-4E43-88E9-8FE1906E40B3}">
  <sheetPr>
    <tabColor theme="9" tint="0.39997558519241921"/>
  </sheetPr>
  <dimension ref="B2:F11"/>
  <sheetViews>
    <sheetView workbookViewId="0">
      <selection activeCell="C4" sqref="C4:C11"/>
    </sheetView>
  </sheetViews>
  <sheetFormatPr baseColWidth="10" defaultRowHeight="12.75"/>
  <cols>
    <col min="3" max="3" width="13.42578125" customWidth="1"/>
    <col min="4" max="4" width="13.28515625" bestFit="1" customWidth="1"/>
    <col min="5" max="5" width="11.85546875" bestFit="1" customWidth="1"/>
    <col min="6" max="6" width="13.5703125" bestFit="1" customWidth="1"/>
  </cols>
  <sheetData>
    <row r="2" spans="2:6">
      <c r="B2" s="18" t="s">
        <v>38</v>
      </c>
      <c r="C2" s="18" t="s">
        <v>45</v>
      </c>
      <c r="D2" s="18" t="s">
        <v>0</v>
      </c>
      <c r="E2" s="18" t="s">
        <v>91</v>
      </c>
      <c r="F2" s="18" t="s">
        <v>92</v>
      </c>
    </row>
    <row r="3" spans="2:6">
      <c r="B3">
        <v>1</v>
      </c>
      <c r="C3" t="s">
        <v>48</v>
      </c>
    </row>
    <row r="4" spans="2:6">
      <c r="B4">
        <v>2</v>
      </c>
      <c r="C4" t="s">
        <v>46</v>
      </c>
    </row>
    <row r="5" spans="2:6">
      <c r="B5">
        <v>3</v>
      </c>
      <c r="C5" t="s">
        <v>49</v>
      </c>
    </row>
    <row r="6" spans="2:6">
      <c r="B6">
        <v>4</v>
      </c>
      <c r="C6" t="s">
        <v>53</v>
      </c>
    </row>
    <row r="7" spans="2:6">
      <c r="B7">
        <v>5</v>
      </c>
      <c r="C7" t="s">
        <v>52</v>
      </c>
    </row>
    <row r="8" spans="2:6">
      <c r="B8">
        <v>6</v>
      </c>
      <c r="C8" s="18" t="s">
        <v>54</v>
      </c>
      <c r="D8" s="18"/>
      <c r="E8" s="18"/>
      <c r="F8" s="18"/>
    </row>
    <row r="9" spans="2:6">
      <c r="B9">
        <v>7</v>
      </c>
      <c r="C9" t="s">
        <v>47</v>
      </c>
    </row>
    <row r="10" spans="2:6">
      <c r="B10">
        <v>8</v>
      </c>
      <c r="C10" t="s">
        <v>50</v>
      </c>
    </row>
    <row r="11" spans="2:6">
      <c r="B11">
        <v>9</v>
      </c>
      <c r="C11" s="18" t="s">
        <v>90</v>
      </c>
      <c r="D11" s="18"/>
      <c r="E11" s="18"/>
      <c r="F11" s="18"/>
    </row>
  </sheetData>
  <sortState xmlns:xlrd2="http://schemas.microsoft.com/office/spreadsheetml/2017/richdata2" ref="C3:C20">
    <sortCondition ref="C19:C20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  <outlinePr summaryBelow="0" summaryRight="0"/>
    <pageSetUpPr fitToPage="1"/>
  </sheetPr>
  <dimension ref="A1:I443"/>
  <sheetViews>
    <sheetView topLeftCell="A202" workbookViewId="0">
      <selection activeCell="G449" sqref="G449"/>
    </sheetView>
  </sheetViews>
  <sheetFormatPr baseColWidth="10" defaultColWidth="12.5703125" defaultRowHeight="15.75" customHeight="1"/>
  <cols>
    <col min="1" max="1" width="15.7109375" style="19" bestFit="1" customWidth="1"/>
    <col min="2" max="2" width="13.85546875" style="17" hidden="1" customWidth="1"/>
    <col min="3" max="3" width="21.85546875" style="19" bestFit="1" customWidth="1"/>
    <col min="4" max="4" width="21.85546875" bestFit="1" customWidth="1"/>
    <col min="5" max="5" width="28" hidden="1" customWidth="1"/>
    <col min="6" max="6" width="28.7109375" bestFit="1" customWidth="1"/>
    <col min="7" max="7" width="18.85546875" bestFit="1" customWidth="1"/>
    <col min="8" max="8" width="34.85546875" bestFit="1" customWidth="1"/>
    <col min="9" max="9" width="46.140625" bestFit="1" customWidth="1"/>
  </cols>
  <sheetData>
    <row r="1" spans="1:9" s="28" customFormat="1">
      <c r="A1" s="28" t="s">
        <v>34</v>
      </c>
      <c r="B1" s="28" t="s">
        <v>35</v>
      </c>
      <c r="C1" s="28" t="s">
        <v>36</v>
      </c>
      <c r="D1" s="28" t="s">
        <v>37</v>
      </c>
      <c r="E1" s="28" t="s">
        <v>0</v>
      </c>
      <c r="F1" s="28" t="s">
        <v>55</v>
      </c>
      <c r="G1" s="28" t="s">
        <v>45</v>
      </c>
      <c r="H1" t="s">
        <v>1</v>
      </c>
      <c r="I1" t="s">
        <v>2</v>
      </c>
    </row>
    <row r="2" spans="1:9" ht="19.5" customHeight="1">
      <c r="A2" s="19">
        <v>1</v>
      </c>
      <c r="B2" s="17">
        <v>45689</v>
      </c>
      <c r="C2" s="19" t="str">
        <f t="shared" ref="C2:C65" si="0">TEXT(B2,"mm")</f>
        <v>02</v>
      </c>
      <c r="D2" t="str">
        <f t="shared" ref="D2:D65" si="1">UPPER(TEXT(B2,"mmmm"))</f>
        <v>FEBRERO</v>
      </c>
      <c r="E2" s="1" t="s">
        <v>3</v>
      </c>
      <c r="F2" t="str">
        <f>_xlfn.XLOOKUP(E2,MAPEO!$B:$B,MAPEO!$C:$C,"",0)</f>
        <v>Calistenia</v>
      </c>
      <c r="G2" t="str">
        <f>_xlfn.XLOOKUP(E2,MAPEO!$B:$B,MAPEO!$D:$D,"",0)</f>
        <v>Edd</v>
      </c>
    </row>
    <row r="3" spans="1:9" ht="14.25">
      <c r="A3" s="19">
        <v>1</v>
      </c>
      <c r="B3" s="17">
        <v>45689</v>
      </c>
      <c r="C3" s="19" t="str">
        <f t="shared" si="0"/>
        <v>02</v>
      </c>
      <c r="D3" t="str">
        <f t="shared" si="1"/>
        <v>FEBRERO</v>
      </c>
      <c r="E3" s="2" t="s">
        <v>4</v>
      </c>
      <c r="F3" t="str">
        <f>_xlfn.XLOOKUP(E3,MAPEO!$B:$B,MAPEO!$C:$C,"",0)</f>
        <v>Calistenia</v>
      </c>
      <c r="G3" t="str">
        <f>_xlfn.XLOOKUP(E3,MAPEO!$B:$B,MAPEO!$D:$D,"",0)</f>
        <v>Martin</v>
      </c>
    </row>
    <row r="4" spans="1:9" ht="14.25">
      <c r="A4" s="19">
        <v>1</v>
      </c>
      <c r="B4" s="17">
        <v>45689</v>
      </c>
      <c r="C4" s="19" t="str">
        <f t="shared" si="0"/>
        <v>02</v>
      </c>
      <c r="D4" t="str">
        <f t="shared" si="1"/>
        <v>FEBRERO</v>
      </c>
      <c r="E4" s="3" t="s">
        <v>6</v>
      </c>
      <c r="F4" t="str">
        <f>_xlfn.XLOOKUP(E4,MAPEO!$B:$B,MAPEO!$C:$C,"",0)</f>
        <v>Calistenia</v>
      </c>
      <c r="G4" t="str">
        <f>_xlfn.XLOOKUP(E4,MAPEO!$B:$B,MAPEO!$D:$D,"",0)</f>
        <v>Agus</v>
      </c>
    </row>
    <row r="5" spans="1:9" ht="14.25">
      <c r="A5" s="19">
        <v>1</v>
      </c>
      <c r="B5" s="17">
        <v>45689</v>
      </c>
      <c r="C5" s="19" t="str">
        <f t="shared" si="0"/>
        <v>02</v>
      </c>
      <c r="D5" t="str">
        <f t="shared" si="1"/>
        <v>FEBRERO</v>
      </c>
      <c r="E5" s="4" t="s">
        <v>7</v>
      </c>
      <c r="F5" t="str">
        <f>_xlfn.XLOOKUP(E5,MAPEO!$B:$B,MAPEO!$C:$C,"",0)</f>
        <v>Calistenia</v>
      </c>
      <c r="G5" t="str">
        <f>_xlfn.XLOOKUP(E5,MAPEO!$B:$B,MAPEO!$D:$D,"",0)</f>
        <v>Lazaro</v>
      </c>
    </row>
    <row r="6" spans="1:9" ht="14.25">
      <c r="A6" s="19">
        <v>1</v>
      </c>
      <c r="B6" s="17">
        <v>45689</v>
      </c>
      <c r="C6" s="19" t="str">
        <f t="shared" si="0"/>
        <v>02</v>
      </c>
      <c r="D6" t="str">
        <f t="shared" si="1"/>
        <v>FEBRERO</v>
      </c>
      <c r="E6" s="16" t="s">
        <v>44</v>
      </c>
      <c r="F6" t="str">
        <f>_xlfn.XLOOKUP(E6,MAPEO!$B:$B,MAPEO!$C:$C,"",0)</f>
        <v>Calistenia</v>
      </c>
      <c r="G6" t="str">
        <f>_xlfn.XLOOKUP(E6,MAPEO!$B:$B,MAPEO!$D:$D,"",0)</f>
        <v>Paula</v>
      </c>
    </row>
    <row r="7" spans="1:9" ht="14.25">
      <c r="A7" s="19">
        <v>1</v>
      </c>
      <c r="B7" s="17">
        <v>45689</v>
      </c>
      <c r="C7" s="19" t="str">
        <f t="shared" si="0"/>
        <v>02</v>
      </c>
      <c r="D7" t="str">
        <f t="shared" si="1"/>
        <v>FEBRERO</v>
      </c>
      <c r="E7" s="5" t="s">
        <v>8</v>
      </c>
      <c r="F7" t="str">
        <f>_xlfn.XLOOKUP(E7,MAPEO!$B:$B,MAPEO!$C:$C,"",0)</f>
        <v>Boxeo</v>
      </c>
      <c r="G7" t="str">
        <f>_xlfn.XLOOKUP(E7,MAPEO!$B:$B,MAPEO!$D:$D,"",0)</f>
        <v>Mariano</v>
      </c>
    </row>
    <row r="8" spans="1:9" ht="14.25">
      <c r="A8" s="19">
        <v>1</v>
      </c>
      <c r="B8" s="17">
        <v>45689</v>
      </c>
      <c r="C8" s="19" t="str">
        <f t="shared" si="0"/>
        <v>02</v>
      </c>
      <c r="D8" t="str">
        <f t="shared" si="1"/>
        <v>FEBRERO</v>
      </c>
      <c r="E8" s="6" t="s">
        <v>9</v>
      </c>
      <c r="F8" t="str">
        <f>_xlfn.XLOOKUP(E8,MAPEO!$B:$B,MAPEO!$C:$C,"",0)</f>
        <v>Boxeo</v>
      </c>
      <c r="G8" t="str">
        <f>_xlfn.XLOOKUP(E8,MAPEO!$B:$B,MAPEO!$D:$D,"",0)</f>
        <v>tito</v>
      </c>
    </row>
    <row r="9" spans="1:9" ht="14.25">
      <c r="A9" s="19">
        <v>1</v>
      </c>
      <c r="B9" s="17">
        <v>45689</v>
      </c>
      <c r="C9" s="19" t="str">
        <f t="shared" si="0"/>
        <v>02</v>
      </c>
      <c r="D9" t="str">
        <f t="shared" si="1"/>
        <v>FEBRERO</v>
      </c>
      <c r="E9" s="1" t="s">
        <v>30</v>
      </c>
      <c r="F9" t="str">
        <f>_xlfn.XLOOKUP(E9,MAPEO!$B:$B,MAPEO!$C:$C,"",0)</f>
        <v>MMA+BOXEO</v>
      </c>
      <c r="G9" t="s">
        <v>56</v>
      </c>
    </row>
    <row r="10" spans="1:9" ht="14.25">
      <c r="A10" s="19">
        <v>1</v>
      </c>
      <c r="B10" s="17">
        <v>45689</v>
      </c>
      <c r="C10" s="19" t="str">
        <f t="shared" si="0"/>
        <v>02</v>
      </c>
      <c r="D10" t="str">
        <f t="shared" si="1"/>
        <v>FEBRERO</v>
      </c>
      <c r="E10" s="7" t="s">
        <v>11</v>
      </c>
      <c r="F10" t="str">
        <f>_xlfn.XLOOKUP(E10,MAPEO!$B:$B,MAPEO!$C:$C,"",0)</f>
        <v>Karate</v>
      </c>
      <c r="G10" t="s">
        <v>56</v>
      </c>
    </row>
    <row r="11" spans="1:9" ht="14.25">
      <c r="A11" s="19">
        <v>1</v>
      </c>
      <c r="B11" s="17">
        <v>45689</v>
      </c>
      <c r="C11" s="19" t="str">
        <f t="shared" si="0"/>
        <v>02</v>
      </c>
      <c r="D11" t="str">
        <f t="shared" si="1"/>
        <v>FEBRERO</v>
      </c>
      <c r="E11" s="12" t="s">
        <v>22</v>
      </c>
      <c r="F11" t="str">
        <f>_xlfn.XLOOKUP(E11,MAPEO!$B:$B,MAPEO!$C:$C,"",0)</f>
        <v>Taekwondo</v>
      </c>
      <c r="G11" t="s">
        <v>56</v>
      </c>
    </row>
    <row r="12" spans="1:9" ht="14.25">
      <c r="A12" s="19">
        <v>1</v>
      </c>
      <c r="B12" s="17">
        <v>45689</v>
      </c>
      <c r="C12" s="19" t="str">
        <f t="shared" si="0"/>
        <v>02</v>
      </c>
      <c r="D12" t="str">
        <f t="shared" si="1"/>
        <v>FEBRERO</v>
      </c>
      <c r="E12" s="3" t="s">
        <v>12</v>
      </c>
      <c r="F12" t="str">
        <f>_xlfn.XLOOKUP(E12,MAPEO!$B:$B,MAPEO!$C:$C,"",0)</f>
        <v>Tela</v>
      </c>
      <c r="G12" t="s">
        <v>56</v>
      </c>
    </row>
    <row r="13" spans="1:9" ht="14.25">
      <c r="A13" s="19">
        <v>1</v>
      </c>
      <c r="B13" s="17">
        <v>45689</v>
      </c>
      <c r="C13" s="19" t="str">
        <f t="shared" si="0"/>
        <v>02</v>
      </c>
      <c r="D13" t="str">
        <f t="shared" si="1"/>
        <v>FEBRERO</v>
      </c>
      <c r="E13" s="8" t="s">
        <v>13</v>
      </c>
      <c r="F13" t="str">
        <f>_xlfn.XLOOKUP(E13,MAPEO!$B:$B,MAPEO!$C:$C,"",0)</f>
        <v>Lyra</v>
      </c>
      <c r="G13" t="s">
        <v>56</v>
      </c>
    </row>
    <row r="14" spans="1:9" ht="14.25">
      <c r="A14" s="19">
        <v>1</v>
      </c>
      <c r="B14" s="17">
        <v>45689</v>
      </c>
      <c r="C14" s="19" t="str">
        <f t="shared" si="0"/>
        <v>02</v>
      </c>
      <c r="D14" t="str">
        <f t="shared" si="1"/>
        <v>FEBRERO</v>
      </c>
      <c r="E14" s="9" t="s">
        <v>14</v>
      </c>
      <c r="F14" t="str">
        <f>_xlfn.XLOOKUP(E14,MAPEO!$B:$B,MAPEO!$C:$C,"",0)</f>
        <v>Yoga y Yoga Columpio</v>
      </c>
      <c r="G14" t="s">
        <v>56</v>
      </c>
    </row>
    <row r="15" spans="1:9" ht="14.25">
      <c r="A15" s="19">
        <v>1</v>
      </c>
      <c r="B15" s="17">
        <v>45689</v>
      </c>
      <c r="C15" s="19" t="str">
        <f t="shared" si="0"/>
        <v>02</v>
      </c>
      <c r="D15" t="str">
        <f t="shared" si="1"/>
        <v>FEBRERO</v>
      </c>
      <c r="E15" s="5" t="s">
        <v>15</v>
      </c>
      <c r="F15" t="str">
        <f>_xlfn.XLOOKUP(E15,MAPEO!$B:$B,MAPEO!$C:$C,"",0)</f>
        <v>Pole Sport</v>
      </c>
      <c r="G15" t="s">
        <v>56</v>
      </c>
    </row>
    <row r="16" spans="1:9" ht="14.25">
      <c r="A16" s="19">
        <v>1</v>
      </c>
      <c r="B16" s="17">
        <v>45689</v>
      </c>
      <c r="C16" s="19" t="str">
        <f t="shared" si="0"/>
        <v>02</v>
      </c>
      <c r="D16" t="str">
        <f t="shared" si="1"/>
        <v>FEBRERO</v>
      </c>
      <c r="E16" s="10" t="s">
        <v>16</v>
      </c>
      <c r="F16" t="str">
        <f>_xlfn.XLOOKUP(E16,MAPEO!$B:$B,MAPEO!$C:$C,"",0)</f>
        <v>Acro Kids</v>
      </c>
      <c r="G16" t="s">
        <v>56</v>
      </c>
    </row>
    <row r="17" spans="1:9" ht="14.25">
      <c r="A17" s="19">
        <v>1</v>
      </c>
      <c r="B17" s="17">
        <v>45689</v>
      </c>
      <c r="C17" s="19" t="str">
        <f t="shared" si="0"/>
        <v>02</v>
      </c>
      <c r="D17" t="str">
        <f t="shared" si="1"/>
        <v>FEBRERO</v>
      </c>
      <c r="E17" s="3" t="s">
        <v>17</v>
      </c>
      <c r="F17" t="str">
        <f>_xlfn.XLOOKUP(E17,MAPEO!$B:$B,MAPEO!$C:$C,"",0)</f>
        <v>Calistenia</v>
      </c>
      <c r="G17" t="s">
        <v>56</v>
      </c>
    </row>
    <row r="18" spans="1:9" ht="14.25">
      <c r="A18" s="19">
        <v>1</v>
      </c>
      <c r="B18" s="17">
        <v>45689</v>
      </c>
      <c r="C18" s="19" t="str">
        <f t="shared" si="0"/>
        <v>02</v>
      </c>
      <c r="D18" t="str">
        <f t="shared" si="1"/>
        <v>FEBRERO</v>
      </c>
      <c r="E18" s="11" t="s">
        <v>18</v>
      </c>
      <c r="F18" t="str">
        <f>_xlfn.XLOOKUP(E18,MAPEO!$B:$B,MAPEO!$C:$C,"",0)</f>
        <v>Movimiento Consciente</v>
      </c>
      <c r="G18" t="s">
        <v>56</v>
      </c>
    </row>
    <row r="19" spans="1:9" ht="14.25">
      <c r="A19" s="19">
        <v>1</v>
      </c>
      <c r="B19" s="17">
        <v>45689</v>
      </c>
      <c r="C19" s="19" t="str">
        <f t="shared" si="0"/>
        <v>02</v>
      </c>
      <c r="D19" t="str">
        <f t="shared" si="1"/>
        <v>FEBRERO</v>
      </c>
      <c r="E19" s="5" t="s">
        <v>19</v>
      </c>
      <c r="F19" t="str">
        <f>_xlfn.XLOOKUP(E19,MAPEO!$B:$B,MAPEO!$C:$C,"",0)</f>
        <v>Cross Traning</v>
      </c>
      <c r="G19" t="s">
        <v>56</v>
      </c>
    </row>
    <row r="20" spans="1:9" ht="14.25">
      <c r="A20" s="19">
        <v>1</v>
      </c>
      <c r="B20" s="17">
        <v>45689</v>
      </c>
      <c r="C20" s="19" t="str">
        <f t="shared" si="0"/>
        <v>02</v>
      </c>
      <c r="D20" t="str">
        <f t="shared" si="1"/>
        <v>FEBRERO</v>
      </c>
      <c r="E20" s="12" t="s">
        <v>20</v>
      </c>
      <c r="F20" t="str">
        <f>_xlfn.XLOOKUP(E20,MAPEO!$B:$B,MAPEO!$C:$C,"",0)</f>
        <v>Funcional</v>
      </c>
      <c r="G20" t="s">
        <v>56</v>
      </c>
    </row>
    <row r="21" spans="1:9" ht="14.25">
      <c r="A21" s="19">
        <v>1</v>
      </c>
      <c r="B21" s="17">
        <v>45689</v>
      </c>
      <c r="C21" s="19" t="str">
        <f t="shared" si="0"/>
        <v>02</v>
      </c>
      <c r="D21" t="str">
        <f t="shared" si="1"/>
        <v>FEBRERO</v>
      </c>
      <c r="E21" s="13" t="s">
        <v>21</v>
      </c>
      <c r="F21" t="str">
        <f>_xlfn.XLOOKUP(E21,MAPEO!$B:$B,MAPEO!$C:$C,"",0)</f>
        <v>EFA</v>
      </c>
      <c r="G21" t="s">
        <v>56</v>
      </c>
    </row>
    <row r="22" spans="1:9" ht="14.25">
      <c r="A22" s="19">
        <v>1</v>
      </c>
      <c r="B22" s="17">
        <v>45689</v>
      </c>
      <c r="C22" s="19" t="str">
        <f t="shared" si="0"/>
        <v>02</v>
      </c>
      <c r="D22" t="str">
        <f t="shared" si="1"/>
        <v>FEBRERO</v>
      </c>
      <c r="E22" s="14" t="s">
        <v>23</v>
      </c>
      <c r="F22" t="str">
        <f>_xlfn.XLOOKUP(E22,MAPEO!$B:$B,MAPEO!$C:$C,"",0)</f>
        <v>Personalizados</v>
      </c>
      <c r="G22" t="str">
        <f>_xlfn.XLOOKUP(E22,MAPEO!$B:$B,MAPEO!$D:$D,"",0)</f>
        <v>Marco</v>
      </c>
    </row>
    <row r="23" spans="1:9" ht="14.25">
      <c r="A23" s="19">
        <v>1</v>
      </c>
      <c r="B23" s="17">
        <v>45689</v>
      </c>
      <c r="C23" s="19" t="str">
        <f t="shared" si="0"/>
        <v>02</v>
      </c>
      <c r="D23" t="str">
        <f t="shared" si="1"/>
        <v>FEBRERO</v>
      </c>
      <c r="E23" s="5" t="s">
        <v>24</v>
      </c>
      <c r="F23" t="str">
        <f>_xlfn.XLOOKUP(E23,MAPEO!$B:$B,MAPEO!$C:$C,"",0)</f>
        <v>Personalizados</v>
      </c>
      <c r="G23" t="str">
        <f>_xlfn.XLOOKUP(E23,MAPEO!$B:$B,MAPEO!$D:$D,"",0)</f>
        <v>Lean</v>
      </c>
    </row>
    <row r="24" spans="1:9" ht="14.25">
      <c r="A24" s="19">
        <v>1</v>
      </c>
      <c r="B24" s="17">
        <v>45717</v>
      </c>
      <c r="C24" s="19" t="str">
        <f t="shared" si="0"/>
        <v>03</v>
      </c>
      <c r="D24" t="str">
        <f t="shared" si="1"/>
        <v>MARZO</v>
      </c>
      <c r="E24" s="1" t="s">
        <v>3</v>
      </c>
      <c r="F24" t="str">
        <f>_xlfn.XLOOKUP(E24,MAPEO!$B:$B,MAPEO!$C:$C,"",0)</f>
        <v>Calistenia</v>
      </c>
      <c r="G24" t="str">
        <f>_xlfn.XLOOKUP(E24,MAPEO!$B:$B,MAPEO!$D:$D,"",0)</f>
        <v>Edd</v>
      </c>
      <c r="H24">
        <v>13</v>
      </c>
    </row>
    <row r="25" spans="1:9" ht="14.25">
      <c r="A25" s="19">
        <v>1</v>
      </c>
      <c r="B25" s="17">
        <v>45717</v>
      </c>
      <c r="C25" s="19" t="str">
        <f t="shared" si="0"/>
        <v>03</v>
      </c>
      <c r="D25" t="str">
        <f t="shared" si="1"/>
        <v>MARZO</v>
      </c>
      <c r="E25" s="2" t="s">
        <v>4</v>
      </c>
      <c r="F25" t="str">
        <f>_xlfn.XLOOKUP(E25,MAPEO!$B:$B,MAPEO!$C:$C,"",0)</f>
        <v>Calistenia</v>
      </c>
      <c r="G25" t="str">
        <f>_xlfn.XLOOKUP(E25,MAPEO!$B:$B,MAPEO!$D:$D,"",0)</f>
        <v>Martin</v>
      </c>
      <c r="H25">
        <v>14</v>
      </c>
    </row>
    <row r="26" spans="1:9" ht="14.25">
      <c r="A26" s="19">
        <v>1</v>
      </c>
      <c r="B26" s="17">
        <v>45717</v>
      </c>
      <c r="C26" s="19" t="str">
        <f t="shared" si="0"/>
        <v>03</v>
      </c>
      <c r="D26" t="str">
        <f t="shared" si="1"/>
        <v>MARZO</v>
      </c>
      <c r="E26" s="3" t="s">
        <v>6</v>
      </c>
      <c r="F26" t="str">
        <f>_xlfn.XLOOKUP(E26,MAPEO!$B:$B,MAPEO!$C:$C,"",0)</f>
        <v>Calistenia</v>
      </c>
      <c r="G26" t="str">
        <f>_xlfn.XLOOKUP(E26,MAPEO!$B:$B,MAPEO!$D:$D,"",0)</f>
        <v>Agus</v>
      </c>
      <c r="H26">
        <v>17</v>
      </c>
    </row>
    <row r="27" spans="1:9" ht="14.25">
      <c r="A27" s="19">
        <v>1</v>
      </c>
      <c r="B27" s="17">
        <v>45717</v>
      </c>
      <c r="C27" s="19" t="str">
        <f t="shared" si="0"/>
        <v>03</v>
      </c>
      <c r="D27" t="str">
        <f t="shared" si="1"/>
        <v>MARZO</v>
      </c>
      <c r="E27" s="4" t="s">
        <v>7</v>
      </c>
      <c r="F27" t="str">
        <f>_xlfn.XLOOKUP(E27,MAPEO!$B:$B,MAPEO!$C:$C,"",0)</f>
        <v>Calistenia</v>
      </c>
      <c r="G27" t="str">
        <f>_xlfn.XLOOKUP(E27,MAPEO!$B:$B,MAPEO!$D:$D,"",0)</f>
        <v>Lazaro</v>
      </c>
      <c r="H27">
        <v>6</v>
      </c>
    </row>
    <row r="28" spans="1:9" ht="14.25">
      <c r="A28" s="19">
        <v>1</v>
      </c>
      <c r="B28" s="17">
        <v>45717</v>
      </c>
      <c r="C28" s="19" t="str">
        <f t="shared" si="0"/>
        <v>03</v>
      </c>
      <c r="D28" t="str">
        <f t="shared" si="1"/>
        <v>MARZO</v>
      </c>
      <c r="E28" s="16" t="s">
        <v>44</v>
      </c>
      <c r="F28" t="str">
        <f>_xlfn.XLOOKUP(E28,MAPEO!$B:$B,MAPEO!$C:$C,"",0)</f>
        <v>Calistenia</v>
      </c>
      <c r="G28" t="str">
        <f>_xlfn.XLOOKUP(E28,MAPEO!$B:$B,MAPEO!$D:$D,"",0)</f>
        <v>Paula</v>
      </c>
      <c r="H28">
        <v>3</v>
      </c>
    </row>
    <row r="29" spans="1:9" ht="14.25">
      <c r="A29" s="19">
        <v>1</v>
      </c>
      <c r="B29" s="17">
        <v>45717</v>
      </c>
      <c r="C29" s="19" t="str">
        <f t="shared" si="0"/>
        <v>03</v>
      </c>
      <c r="D29" t="str">
        <f t="shared" si="1"/>
        <v>MARZO</v>
      </c>
      <c r="E29" s="5" t="s">
        <v>8</v>
      </c>
      <c r="F29" t="str">
        <f>_xlfn.XLOOKUP(E29,MAPEO!$B:$B,MAPEO!$C:$C,"",0)</f>
        <v>Boxeo</v>
      </c>
      <c r="G29" t="str">
        <f>_xlfn.XLOOKUP(E29,MAPEO!$B:$B,MAPEO!$D:$D,"",0)</f>
        <v>Mariano</v>
      </c>
      <c r="H29">
        <v>11</v>
      </c>
      <c r="I29" t="s">
        <v>26</v>
      </c>
    </row>
    <row r="30" spans="1:9" ht="14.25">
      <c r="A30" s="19">
        <v>1</v>
      </c>
      <c r="B30" s="17">
        <v>45717</v>
      </c>
      <c r="C30" s="19" t="str">
        <f t="shared" si="0"/>
        <v>03</v>
      </c>
      <c r="D30" t="str">
        <f t="shared" si="1"/>
        <v>MARZO</v>
      </c>
      <c r="E30" s="6" t="s">
        <v>9</v>
      </c>
      <c r="F30" t="str">
        <f>_xlfn.XLOOKUP(E30,MAPEO!$B:$B,MAPEO!$C:$C,"",0)</f>
        <v>Boxeo</v>
      </c>
      <c r="G30" t="str">
        <f>_xlfn.XLOOKUP(E30,MAPEO!$B:$B,MAPEO!$D:$D,"",0)</f>
        <v>tito</v>
      </c>
      <c r="H30">
        <v>8</v>
      </c>
    </row>
    <row r="31" spans="1:9" ht="14.25">
      <c r="A31" s="19">
        <v>1</v>
      </c>
      <c r="B31" s="17">
        <v>45717</v>
      </c>
      <c r="C31" s="19" t="str">
        <f t="shared" si="0"/>
        <v>03</v>
      </c>
      <c r="D31" t="str">
        <f t="shared" si="1"/>
        <v>MARZO</v>
      </c>
      <c r="E31" s="1" t="s">
        <v>10</v>
      </c>
      <c r="F31" t="str">
        <f>_xlfn.XLOOKUP(E31,MAPEO!$B:$B,MAPEO!$C:$C,"",0)</f>
        <v xml:space="preserve">MMA </v>
      </c>
      <c r="G31" t="s">
        <v>56</v>
      </c>
      <c r="H31">
        <v>2</v>
      </c>
    </row>
    <row r="32" spans="1:9" ht="14.25">
      <c r="A32" s="19">
        <v>1</v>
      </c>
      <c r="B32" s="17">
        <v>45717</v>
      </c>
      <c r="C32" s="19" t="str">
        <f t="shared" si="0"/>
        <v>03</v>
      </c>
      <c r="D32" t="str">
        <f t="shared" si="1"/>
        <v>MARZO</v>
      </c>
      <c r="E32" s="7" t="s">
        <v>11</v>
      </c>
      <c r="F32" t="str">
        <f>_xlfn.XLOOKUP(E32,MAPEO!$B:$B,MAPEO!$C:$C,"",0)</f>
        <v>Karate</v>
      </c>
      <c r="G32" t="s">
        <v>56</v>
      </c>
      <c r="H32">
        <v>0</v>
      </c>
    </row>
    <row r="33" spans="1:9" ht="14.25">
      <c r="A33" s="19">
        <v>1</v>
      </c>
      <c r="B33" s="17">
        <v>45717</v>
      </c>
      <c r="C33" s="19" t="str">
        <f t="shared" si="0"/>
        <v>03</v>
      </c>
      <c r="D33" t="str">
        <f t="shared" si="1"/>
        <v>MARZO</v>
      </c>
      <c r="E33" s="12" t="s">
        <v>22</v>
      </c>
      <c r="F33" t="str">
        <f>_xlfn.XLOOKUP(E33,MAPEO!$B:$B,MAPEO!$C:$C,"",0)</f>
        <v>Taekwondo</v>
      </c>
      <c r="G33" t="s">
        <v>56</v>
      </c>
      <c r="H33">
        <v>2</v>
      </c>
    </row>
    <row r="34" spans="1:9" ht="14.25">
      <c r="A34" s="19">
        <v>1</v>
      </c>
      <c r="B34" s="17">
        <v>45717</v>
      </c>
      <c r="C34" s="19" t="str">
        <f t="shared" si="0"/>
        <v>03</v>
      </c>
      <c r="D34" t="str">
        <f t="shared" si="1"/>
        <v>MARZO</v>
      </c>
      <c r="E34" s="3" t="s">
        <v>12</v>
      </c>
      <c r="F34" t="str">
        <f>_xlfn.XLOOKUP(E34,MAPEO!$B:$B,MAPEO!$C:$C,"",0)</f>
        <v>Tela</v>
      </c>
      <c r="G34" t="s">
        <v>56</v>
      </c>
      <c r="H34">
        <v>3</v>
      </c>
    </row>
    <row r="35" spans="1:9" ht="14.25">
      <c r="A35" s="19">
        <v>1</v>
      </c>
      <c r="B35" s="17">
        <v>45717</v>
      </c>
      <c r="C35" s="19" t="str">
        <f t="shared" si="0"/>
        <v>03</v>
      </c>
      <c r="D35" t="str">
        <f t="shared" si="1"/>
        <v>MARZO</v>
      </c>
      <c r="E35" s="8" t="s">
        <v>13</v>
      </c>
      <c r="F35" t="str">
        <f>_xlfn.XLOOKUP(E35,MAPEO!$B:$B,MAPEO!$C:$C,"",0)</f>
        <v>Lyra</v>
      </c>
      <c r="G35" t="s">
        <v>56</v>
      </c>
      <c r="H35">
        <v>3</v>
      </c>
    </row>
    <row r="36" spans="1:9" ht="14.25">
      <c r="A36" s="19">
        <v>1</v>
      </c>
      <c r="B36" s="17">
        <v>45717</v>
      </c>
      <c r="C36" s="19" t="str">
        <f t="shared" si="0"/>
        <v>03</v>
      </c>
      <c r="D36" t="str">
        <f t="shared" si="1"/>
        <v>MARZO</v>
      </c>
      <c r="E36" s="9" t="s">
        <v>14</v>
      </c>
      <c r="F36" t="str">
        <f>_xlfn.XLOOKUP(E36,MAPEO!$B:$B,MAPEO!$C:$C,"",0)</f>
        <v>Yoga y Yoga Columpio</v>
      </c>
      <c r="G36" t="s">
        <v>56</v>
      </c>
      <c r="H36">
        <v>0</v>
      </c>
    </row>
    <row r="37" spans="1:9" ht="14.25">
      <c r="A37" s="19">
        <v>1</v>
      </c>
      <c r="B37" s="17">
        <v>45717</v>
      </c>
      <c r="C37" s="19" t="str">
        <f t="shared" si="0"/>
        <v>03</v>
      </c>
      <c r="D37" t="str">
        <f t="shared" si="1"/>
        <v>MARZO</v>
      </c>
      <c r="E37" s="5" t="s">
        <v>15</v>
      </c>
      <c r="F37" t="str">
        <f>_xlfn.XLOOKUP(E37,MAPEO!$B:$B,MAPEO!$C:$C,"",0)</f>
        <v>Pole Sport</v>
      </c>
      <c r="G37" t="s">
        <v>56</v>
      </c>
      <c r="H37">
        <v>13</v>
      </c>
    </row>
    <row r="38" spans="1:9" ht="14.25">
      <c r="A38" s="19">
        <v>1</v>
      </c>
      <c r="B38" s="17">
        <v>45717</v>
      </c>
      <c r="C38" s="19" t="str">
        <f t="shared" si="0"/>
        <v>03</v>
      </c>
      <c r="D38" t="str">
        <f t="shared" si="1"/>
        <v>MARZO</v>
      </c>
      <c r="E38" s="10" t="s">
        <v>16</v>
      </c>
      <c r="F38" t="str">
        <f>_xlfn.XLOOKUP(E38,MAPEO!$B:$B,MAPEO!$C:$C,"",0)</f>
        <v>Acro Kids</v>
      </c>
      <c r="G38" t="s">
        <v>56</v>
      </c>
      <c r="H38">
        <v>3</v>
      </c>
    </row>
    <row r="39" spans="1:9" ht="14.25">
      <c r="A39" s="19">
        <v>1</v>
      </c>
      <c r="B39" s="17">
        <v>45717</v>
      </c>
      <c r="C39" s="19" t="str">
        <f t="shared" si="0"/>
        <v>03</v>
      </c>
      <c r="D39" t="str">
        <f t="shared" si="1"/>
        <v>MARZO</v>
      </c>
      <c r="E39" s="3" t="s">
        <v>17</v>
      </c>
      <c r="F39" t="str">
        <f>_xlfn.XLOOKUP(E39,MAPEO!$B:$B,MAPEO!$C:$C,"",0)</f>
        <v>Calistenia</v>
      </c>
      <c r="G39" t="s">
        <v>56</v>
      </c>
      <c r="H39">
        <v>2</v>
      </c>
    </row>
    <row r="40" spans="1:9" ht="14.25">
      <c r="A40" s="19">
        <v>1</v>
      </c>
      <c r="B40" s="17">
        <v>45717</v>
      </c>
      <c r="C40" s="19" t="str">
        <f t="shared" si="0"/>
        <v>03</v>
      </c>
      <c r="D40" t="str">
        <f t="shared" si="1"/>
        <v>MARZO</v>
      </c>
      <c r="E40" s="11" t="s">
        <v>18</v>
      </c>
      <c r="F40" t="str">
        <f>_xlfn.XLOOKUP(E40,MAPEO!$B:$B,MAPEO!$C:$C,"",0)</f>
        <v>Movimiento Consciente</v>
      </c>
      <c r="G40" t="s">
        <v>56</v>
      </c>
      <c r="H40">
        <v>1</v>
      </c>
    </row>
    <row r="41" spans="1:9" ht="14.25">
      <c r="A41" s="19">
        <v>1</v>
      </c>
      <c r="B41" s="17">
        <v>45717</v>
      </c>
      <c r="C41" s="19" t="str">
        <f t="shared" si="0"/>
        <v>03</v>
      </c>
      <c r="D41" t="str">
        <f t="shared" si="1"/>
        <v>MARZO</v>
      </c>
      <c r="E41" s="5" t="s">
        <v>19</v>
      </c>
      <c r="F41" t="str">
        <f>_xlfn.XLOOKUP(E41,MAPEO!$B:$B,MAPEO!$C:$C,"",0)</f>
        <v>Cross Traning</v>
      </c>
      <c r="G41" t="s">
        <v>56</v>
      </c>
      <c r="H41">
        <v>3</v>
      </c>
    </row>
    <row r="42" spans="1:9" ht="14.25">
      <c r="A42" s="19">
        <v>1</v>
      </c>
      <c r="B42" s="17">
        <v>45717</v>
      </c>
      <c r="C42" s="19" t="str">
        <f t="shared" si="0"/>
        <v>03</v>
      </c>
      <c r="D42" t="str">
        <f t="shared" si="1"/>
        <v>MARZO</v>
      </c>
      <c r="E42" s="12" t="s">
        <v>20</v>
      </c>
      <c r="F42" t="str">
        <f>_xlfn.XLOOKUP(E42,MAPEO!$B:$B,MAPEO!$C:$C,"",0)</f>
        <v>Funcional</v>
      </c>
      <c r="G42" t="s">
        <v>56</v>
      </c>
      <c r="H42">
        <v>23</v>
      </c>
      <c r="I42" t="s">
        <v>27</v>
      </c>
    </row>
    <row r="43" spans="1:9" ht="14.25">
      <c r="A43" s="19">
        <v>1</v>
      </c>
      <c r="B43" s="17">
        <v>45717</v>
      </c>
      <c r="C43" s="19" t="str">
        <f t="shared" si="0"/>
        <v>03</v>
      </c>
      <c r="D43" t="str">
        <f t="shared" si="1"/>
        <v>MARZO</v>
      </c>
      <c r="E43" s="13" t="s">
        <v>21</v>
      </c>
      <c r="F43" t="str">
        <f>_xlfn.XLOOKUP(E43,MAPEO!$B:$B,MAPEO!$C:$C,"",0)</f>
        <v>EFA</v>
      </c>
      <c r="G43" t="s">
        <v>56</v>
      </c>
      <c r="H43">
        <v>3</v>
      </c>
    </row>
    <row r="44" spans="1:9" ht="14.25">
      <c r="A44" s="19">
        <v>1</v>
      </c>
      <c r="B44" s="17">
        <v>45717</v>
      </c>
      <c r="C44" s="19" t="str">
        <f t="shared" si="0"/>
        <v>03</v>
      </c>
      <c r="D44" t="str">
        <f t="shared" si="1"/>
        <v>MARZO</v>
      </c>
      <c r="E44" s="14" t="s">
        <v>23</v>
      </c>
      <c r="F44" t="str">
        <f>_xlfn.XLOOKUP(E44,MAPEO!$B:$B,MAPEO!$C:$C,"",0)</f>
        <v>Personalizados</v>
      </c>
      <c r="G44" t="str">
        <f>_xlfn.XLOOKUP(E44,MAPEO!$B:$B,MAPEO!$D:$D,"",0)</f>
        <v>Marco</v>
      </c>
      <c r="H44">
        <v>10</v>
      </c>
      <c r="I44" t="s">
        <v>28</v>
      </c>
    </row>
    <row r="45" spans="1:9" ht="14.25">
      <c r="A45" s="19">
        <v>1</v>
      </c>
      <c r="B45" s="17">
        <v>45717</v>
      </c>
      <c r="C45" s="19" t="str">
        <f t="shared" si="0"/>
        <v>03</v>
      </c>
      <c r="D45" t="str">
        <f t="shared" si="1"/>
        <v>MARZO</v>
      </c>
      <c r="E45" s="5" t="s">
        <v>24</v>
      </c>
      <c r="F45" t="str">
        <f>_xlfn.XLOOKUP(E45,MAPEO!$B:$B,MAPEO!$C:$C,"",0)</f>
        <v>Personalizados</v>
      </c>
      <c r="G45" t="str">
        <f>_xlfn.XLOOKUP(E45,MAPEO!$B:$B,MAPEO!$D:$D,"",0)</f>
        <v>Lean</v>
      </c>
      <c r="H45">
        <v>1</v>
      </c>
    </row>
    <row r="46" spans="1:9" ht="14.25">
      <c r="A46" s="19">
        <v>1</v>
      </c>
      <c r="B46" s="17">
        <v>45748</v>
      </c>
      <c r="C46" s="19" t="str">
        <f t="shared" si="0"/>
        <v>04</v>
      </c>
      <c r="D46" t="str">
        <f t="shared" si="1"/>
        <v>ABRIL</v>
      </c>
      <c r="E46" s="1" t="s">
        <v>3</v>
      </c>
      <c r="F46" t="str">
        <f>_xlfn.XLOOKUP(E46,MAPEO!$B:$B,MAPEO!$C:$C,"",0)</f>
        <v>Calistenia</v>
      </c>
      <c r="G46" t="str">
        <f>_xlfn.XLOOKUP(E46,MAPEO!$B:$B,MAPEO!$D:$D,"",0)</f>
        <v>Edd</v>
      </c>
      <c r="H46">
        <v>30</v>
      </c>
    </row>
    <row r="47" spans="1:9" ht="14.25">
      <c r="A47" s="19">
        <f t="shared" ref="A47:A68" si="2">A46</f>
        <v>1</v>
      </c>
      <c r="B47" s="17">
        <v>45748</v>
      </c>
      <c r="C47" s="19" t="str">
        <f t="shared" si="0"/>
        <v>04</v>
      </c>
      <c r="D47" t="str">
        <f t="shared" si="1"/>
        <v>ABRIL</v>
      </c>
      <c r="E47" s="2" t="s">
        <v>4</v>
      </c>
      <c r="F47" t="str">
        <f>_xlfn.XLOOKUP(E47,MAPEO!$B:$B,MAPEO!$C:$C,"",0)</f>
        <v>Calistenia</v>
      </c>
      <c r="G47" t="str">
        <f>_xlfn.XLOOKUP(E47,MAPEO!$B:$B,MAPEO!$D:$D,"",0)</f>
        <v>Martin</v>
      </c>
      <c r="H47">
        <v>26</v>
      </c>
    </row>
    <row r="48" spans="1:9" ht="14.25">
      <c r="A48" s="19">
        <f t="shared" si="2"/>
        <v>1</v>
      </c>
      <c r="B48" s="17">
        <v>45748</v>
      </c>
      <c r="C48" s="19" t="str">
        <f t="shared" si="0"/>
        <v>04</v>
      </c>
      <c r="D48" t="str">
        <f t="shared" si="1"/>
        <v>ABRIL</v>
      </c>
      <c r="E48" s="3" t="s">
        <v>6</v>
      </c>
      <c r="F48" t="str">
        <f>_xlfn.XLOOKUP(E48,MAPEO!$B:$B,MAPEO!$C:$C,"",0)</f>
        <v>Calistenia</v>
      </c>
      <c r="G48" t="str">
        <f>_xlfn.XLOOKUP(E48,MAPEO!$B:$B,MAPEO!$D:$D,"",0)</f>
        <v>Agus</v>
      </c>
      <c r="H48">
        <v>14</v>
      </c>
    </row>
    <row r="49" spans="1:8" ht="14.25">
      <c r="A49" s="19">
        <f t="shared" si="2"/>
        <v>1</v>
      </c>
      <c r="B49" s="17">
        <v>45748</v>
      </c>
      <c r="C49" s="19" t="str">
        <f t="shared" si="0"/>
        <v>04</v>
      </c>
      <c r="D49" t="str">
        <f t="shared" si="1"/>
        <v>ABRIL</v>
      </c>
      <c r="E49" s="4" t="s">
        <v>7</v>
      </c>
      <c r="F49" t="str">
        <f>_xlfn.XLOOKUP(E49,MAPEO!$B:$B,MAPEO!$C:$C,"",0)</f>
        <v>Calistenia</v>
      </c>
      <c r="G49" t="str">
        <f>_xlfn.XLOOKUP(E49,MAPEO!$B:$B,MAPEO!$D:$D,"",0)</f>
        <v>Lazaro</v>
      </c>
      <c r="H49">
        <v>14</v>
      </c>
    </row>
    <row r="50" spans="1:8" ht="14.25">
      <c r="A50" s="19">
        <f t="shared" si="2"/>
        <v>1</v>
      </c>
      <c r="B50" s="17">
        <v>45748</v>
      </c>
      <c r="C50" s="19" t="str">
        <f t="shared" si="0"/>
        <v>04</v>
      </c>
      <c r="D50" t="str">
        <f t="shared" si="1"/>
        <v>ABRIL</v>
      </c>
      <c r="E50" s="4" t="s">
        <v>44</v>
      </c>
      <c r="F50" t="str">
        <f>_xlfn.XLOOKUP(E50,MAPEO!$B:$B,MAPEO!$C:$C,"",0)</f>
        <v>Calistenia</v>
      </c>
      <c r="G50" t="str">
        <f>_xlfn.XLOOKUP(E50,MAPEO!$B:$B,MAPEO!$D:$D,"",0)</f>
        <v>Paula</v>
      </c>
      <c r="H50">
        <v>5</v>
      </c>
    </row>
    <row r="51" spans="1:8" ht="14.25">
      <c r="A51" s="19">
        <f t="shared" si="2"/>
        <v>1</v>
      </c>
      <c r="B51" s="17">
        <v>45748</v>
      </c>
      <c r="C51" s="19" t="str">
        <f t="shared" si="0"/>
        <v>04</v>
      </c>
      <c r="D51" t="str">
        <f t="shared" si="1"/>
        <v>ABRIL</v>
      </c>
      <c r="E51" s="5" t="s">
        <v>8</v>
      </c>
      <c r="F51" t="str">
        <f>_xlfn.XLOOKUP(E51,MAPEO!$B:$B,MAPEO!$C:$C,"",0)</f>
        <v>Boxeo</v>
      </c>
      <c r="G51" t="str">
        <f>_xlfn.XLOOKUP(E51,MAPEO!$B:$B,MAPEO!$D:$D,"",0)</f>
        <v>Mariano</v>
      </c>
      <c r="H51">
        <v>39</v>
      </c>
    </row>
    <row r="52" spans="1:8" ht="15.75" customHeight="1">
      <c r="A52" s="19">
        <f t="shared" si="2"/>
        <v>1</v>
      </c>
      <c r="B52" s="17">
        <v>45748</v>
      </c>
      <c r="C52" s="19" t="str">
        <f t="shared" si="0"/>
        <v>04</v>
      </c>
      <c r="D52" t="str">
        <f t="shared" si="1"/>
        <v>ABRIL</v>
      </c>
      <c r="E52" s="6" t="s">
        <v>9</v>
      </c>
      <c r="F52" t="str">
        <f>_xlfn.XLOOKUP(E52,MAPEO!$B:$B,MAPEO!$C:$C,"",0)</f>
        <v>Boxeo</v>
      </c>
      <c r="G52" t="str">
        <f>_xlfn.XLOOKUP(E52,MAPEO!$B:$B,MAPEO!$D:$D,"",0)</f>
        <v>tito</v>
      </c>
      <c r="H52">
        <v>21</v>
      </c>
    </row>
    <row r="53" spans="1:8" ht="15.75" customHeight="1">
      <c r="A53" s="19">
        <f t="shared" si="2"/>
        <v>1</v>
      </c>
      <c r="B53" s="17">
        <v>45748</v>
      </c>
      <c r="C53" s="19" t="str">
        <f t="shared" si="0"/>
        <v>04</v>
      </c>
      <c r="D53" t="str">
        <f t="shared" si="1"/>
        <v>ABRIL</v>
      </c>
      <c r="E53" s="1" t="s">
        <v>10</v>
      </c>
      <c r="F53" t="str">
        <f>_xlfn.XLOOKUP(E53,MAPEO!$B:$B,MAPEO!$C:$C,"",0)</f>
        <v xml:space="preserve">MMA </v>
      </c>
      <c r="G53" t="s">
        <v>56</v>
      </c>
      <c r="H53">
        <v>9</v>
      </c>
    </row>
    <row r="54" spans="1:8" ht="15.75" customHeight="1">
      <c r="A54" s="19">
        <f t="shared" si="2"/>
        <v>1</v>
      </c>
      <c r="B54" s="17">
        <v>45748</v>
      </c>
      <c r="C54" s="19" t="str">
        <f t="shared" si="0"/>
        <v>04</v>
      </c>
      <c r="D54" t="str">
        <f t="shared" si="1"/>
        <v>ABRIL</v>
      </c>
      <c r="E54" s="7" t="s">
        <v>11</v>
      </c>
      <c r="F54" t="str">
        <f>_xlfn.XLOOKUP(E54,MAPEO!$B:$B,MAPEO!$C:$C,"",0)</f>
        <v>Karate</v>
      </c>
      <c r="G54" t="s">
        <v>56</v>
      </c>
      <c r="H54">
        <v>1</v>
      </c>
    </row>
    <row r="55" spans="1:8" ht="15.75" customHeight="1">
      <c r="A55" s="19">
        <f t="shared" si="2"/>
        <v>1</v>
      </c>
      <c r="B55" s="17">
        <v>45748</v>
      </c>
      <c r="C55" s="19" t="str">
        <f t="shared" si="0"/>
        <v>04</v>
      </c>
      <c r="D55" t="str">
        <f t="shared" si="1"/>
        <v>ABRIL</v>
      </c>
      <c r="E55" s="15" t="s">
        <v>29</v>
      </c>
      <c r="F55" t="str">
        <f>_xlfn.XLOOKUP(E55,MAPEO!$B:$B,MAPEO!$C:$C,"",0)</f>
        <v>JIU JITSU</v>
      </c>
      <c r="G55" s="18" t="s">
        <v>56</v>
      </c>
      <c r="H55">
        <v>7</v>
      </c>
    </row>
    <row r="56" spans="1:8" ht="15.75" customHeight="1">
      <c r="A56" s="19">
        <f t="shared" si="2"/>
        <v>1</v>
      </c>
      <c r="B56" s="17">
        <v>45748</v>
      </c>
      <c r="C56" s="19" t="str">
        <f t="shared" si="0"/>
        <v>04</v>
      </c>
      <c r="D56" t="str">
        <f t="shared" si="1"/>
        <v>ABRIL</v>
      </c>
      <c r="E56" s="3" t="s">
        <v>12</v>
      </c>
      <c r="F56" t="str">
        <f>_xlfn.XLOOKUP(E56,MAPEO!$B:$B,MAPEO!$C:$C,"",0)</f>
        <v>Tela</v>
      </c>
      <c r="G56" t="s">
        <v>56</v>
      </c>
      <c r="H56">
        <v>6</v>
      </c>
    </row>
    <row r="57" spans="1:8" ht="15.75" customHeight="1">
      <c r="A57" s="19">
        <f t="shared" si="2"/>
        <v>1</v>
      </c>
      <c r="B57" s="17">
        <v>45748</v>
      </c>
      <c r="C57" s="19" t="str">
        <f t="shared" si="0"/>
        <v>04</v>
      </c>
      <c r="D57" t="str">
        <f t="shared" si="1"/>
        <v>ABRIL</v>
      </c>
      <c r="E57" s="8" t="s">
        <v>13</v>
      </c>
      <c r="F57" t="str">
        <f>_xlfn.XLOOKUP(E57,MAPEO!$B:$B,MAPEO!$C:$C,"",0)</f>
        <v>Lyra</v>
      </c>
      <c r="G57" t="s">
        <v>56</v>
      </c>
      <c r="H57">
        <v>8</v>
      </c>
    </row>
    <row r="58" spans="1:8" ht="15.75" customHeight="1">
      <c r="A58" s="19">
        <f t="shared" si="2"/>
        <v>1</v>
      </c>
      <c r="B58" s="17">
        <v>45748</v>
      </c>
      <c r="C58" s="19" t="str">
        <f t="shared" si="0"/>
        <v>04</v>
      </c>
      <c r="D58" t="str">
        <f t="shared" si="1"/>
        <v>ABRIL</v>
      </c>
      <c r="E58" s="9" t="s">
        <v>14</v>
      </c>
      <c r="F58" t="str">
        <f>_xlfn.XLOOKUP(E58,MAPEO!$B:$B,MAPEO!$C:$C,"",0)</f>
        <v>Yoga y Yoga Columpio</v>
      </c>
      <c r="G58" t="s">
        <v>56</v>
      </c>
      <c r="H58">
        <v>4</v>
      </c>
    </row>
    <row r="59" spans="1:8" ht="15.75" customHeight="1">
      <c r="A59" s="19">
        <f t="shared" si="2"/>
        <v>1</v>
      </c>
      <c r="B59" s="17">
        <v>45748</v>
      </c>
      <c r="C59" s="19" t="str">
        <f t="shared" si="0"/>
        <v>04</v>
      </c>
      <c r="D59" t="str">
        <f t="shared" si="1"/>
        <v>ABRIL</v>
      </c>
      <c r="E59" s="5" t="s">
        <v>15</v>
      </c>
      <c r="F59" t="str">
        <f>_xlfn.XLOOKUP(E59,MAPEO!$B:$B,MAPEO!$C:$C,"",0)</f>
        <v>Pole Sport</v>
      </c>
      <c r="G59" t="s">
        <v>56</v>
      </c>
      <c r="H59">
        <v>18</v>
      </c>
    </row>
    <row r="60" spans="1:8" ht="15.75" customHeight="1">
      <c r="A60" s="19">
        <f t="shared" si="2"/>
        <v>1</v>
      </c>
      <c r="B60" s="17">
        <v>45748</v>
      </c>
      <c r="C60" s="19" t="str">
        <f t="shared" si="0"/>
        <v>04</v>
      </c>
      <c r="D60" t="str">
        <f t="shared" si="1"/>
        <v>ABRIL</v>
      </c>
      <c r="E60" s="10" t="s">
        <v>16</v>
      </c>
      <c r="F60" t="str">
        <f>_xlfn.XLOOKUP(E60,MAPEO!$B:$B,MAPEO!$C:$C,"",0)</f>
        <v>Acro Kids</v>
      </c>
      <c r="G60" t="s">
        <v>56</v>
      </c>
      <c r="H60">
        <v>5</v>
      </c>
    </row>
    <row r="61" spans="1:8" ht="15.75" customHeight="1">
      <c r="A61" s="19">
        <f t="shared" si="2"/>
        <v>1</v>
      </c>
      <c r="B61" s="17">
        <v>45748</v>
      </c>
      <c r="C61" s="19" t="str">
        <f t="shared" si="0"/>
        <v>04</v>
      </c>
      <c r="D61" t="str">
        <f t="shared" si="1"/>
        <v>ABRIL</v>
      </c>
      <c r="E61" s="3" t="s">
        <v>17</v>
      </c>
      <c r="F61" t="str">
        <f>_xlfn.XLOOKUP(E61,MAPEO!$B:$B,MAPEO!$C:$C,"",0)</f>
        <v>Calistenia</v>
      </c>
      <c r="G61" t="s">
        <v>56</v>
      </c>
      <c r="H61">
        <v>5</v>
      </c>
    </row>
    <row r="62" spans="1:8" ht="15.75" customHeight="1">
      <c r="A62" s="19">
        <f t="shared" si="2"/>
        <v>1</v>
      </c>
      <c r="B62" s="17">
        <v>45748</v>
      </c>
      <c r="C62" s="19" t="str">
        <f t="shared" si="0"/>
        <v>04</v>
      </c>
      <c r="D62" t="str">
        <f t="shared" si="1"/>
        <v>ABRIL</v>
      </c>
      <c r="E62" s="11" t="s">
        <v>18</v>
      </c>
      <c r="F62" t="str">
        <f>_xlfn.XLOOKUP(E62,MAPEO!$B:$B,MAPEO!$C:$C,"",0)</f>
        <v>Movimiento Consciente</v>
      </c>
      <c r="G62" t="s">
        <v>56</v>
      </c>
      <c r="H62">
        <v>6</v>
      </c>
    </row>
    <row r="63" spans="1:8" ht="15.75" customHeight="1">
      <c r="A63" s="19">
        <f t="shared" si="2"/>
        <v>1</v>
      </c>
      <c r="B63" s="17">
        <v>45748</v>
      </c>
      <c r="C63" s="19" t="str">
        <f t="shared" si="0"/>
        <v>04</v>
      </c>
      <c r="D63" t="str">
        <f t="shared" si="1"/>
        <v>ABRIL</v>
      </c>
      <c r="E63" s="5" t="s">
        <v>19</v>
      </c>
      <c r="F63" t="str">
        <f>_xlfn.XLOOKUP(E63,MAPEO!$B:$B,MAPEO!$C:$C,"",0)</f>
        <v>Cross Traning</v>
      </c>
      <c r="G63" t="s">
        <v>56</v>
      </c>
      <c r="H63">
        <v>4</v>
      </c>
    </row>
    <row r="64" spans="1:8" ht="15.75" customHeight="1">
      <c r="A64" s="19">
        <f t="shared" si="2"/>
        <v>1</v>
      </c>
      <c r="B64" s="17">
        <v>45748</v>
      </c>
      <c r="C64" s="19" t="str">
        <f t="shared" si="0"/>
        <v>04</v>
      </c>
      <c r="D64" t="str">
        <f t="shared" si="1"/>
        <v>ABRIL</v>
      </c>
      <c r="E64" s="12" t="s">
        <v>20</v>
      </c>
      <c r="F64" t="str">
        <f>_xlfn.XLOOKUP(E64,MAPEO!$B:$B,MAPEO!$C:$C,"",0)</f>
        <v>Funcional</v>
      </c>
      <c r="G64" t="s">
        <v>56</v>
      </c>
      <c r="H64">
        <v>91</v>
      </c>
    </row>
    <row r="65" spans="1:8" ht="15.75" customHeight="1">
      <c r="A65" s="19">
        <f t="shared" si="2"/>
        <v>1</v>
      </c>
      <c r="B65" s="17">
        <v>45748</v>
      </c>
      <c r="C65" s="19" t="str">
        <f t="shared" si="0"/>
        <v>04</v>
      </c>
      <c r="D65" t="str">
        <f t="shared" si="1"/>
        <v>ABRIL</v>
      </c>
      <c r="E65" s="13" t="s">
        <v>21</v>
      </c>
      <c r="F65" t="str">
        <f>_xlfn.XLOOKUP(E65,MAPEO!$B:$B,MAPEO!$C:$C,"",0)</f>
        <v>EFA</v>
      </c>
      <c r="G65" t="s">
        <v>56</v>
      </c>
      <c r="H65">
        <v>13</v>
      </c>
    </row>
    <row r="66" spans="1:8" ht="15.75" customHeight="1">
      <c r="A66" s="19">
        <f t="shared" si="2"/>
        <v>1</v>
      </c>
      <c r="B66" s="17">
        <v>45748</v>
      </c>
      <c r="C66" s="19" t="str">
        <f t="shared" ref="C66:C129" si="3">TEXT(B66,"mm")</f>
        <v>04</v>
      </c>
      <c r="D66" t="str">
        <f t="shared" ref="D66:D129" si="4">UPPER(TEXT(B66,"mmmm"))</f>
        <v>ABRIL</v>
      </c>
      <c r="E66" s="14" t="s">
        <v>23</v>
      </c>
      <c r="F66" t="str">
        <f>_xlfn.XLOOKUP(E66,MAPEO!$B:$B,MAPEO!$C:$C,"",0)</f>
        <v>Personalizados</v>
      </c>
      <c r="G66" t="str">
        <f>_xlfn.XLOOKUP(E66,MAPEO!$B:$B,MAPEO!$D:$D,"",0)</f>
        <v>Marco</v>
      </c>
      <c r="H66">
        <v>20</v>
      </c>
    </row>
    <row r="67" spans="1:8" ht="15.75" customHeight="1">
      <c r="A67" s="19">
        <f t="shared" si="2"/>
        <v>1</v>
      </c>
      <c r="B67" s="17">
        <v>45748</v>
      </c>
      <c r="C67" s="19" t="str">
        <f t="shared" si="3"/>
        <v>04</v>
      </c>
      <c r="D67" t="str">
        <f t="shared" si="4"/>
        <v>ABRIL</v>
      </c>
      <c r="E67" s="5" t="s">
        <v>24</v>
      </c>
      <c r="F67" t="str">
        <f>_xlfn.XLOOKUP(E67,MAPEO!$B:$B,MAPEO!$C:$C,"",0)</f>
        <v>Personalizados</v>
      </c>
      <c r="G67" t="str">
        <f>_xlfn.XLOOKUP(E67,MAPEO!$B:$B,MAPEO!$D:$D,"",0)</f>
        <v>Lean</v>
      </c>
      <c r="H67">
        <v>0</v>
      </c>
    </row>
    <row r="68" spans="1:8" ht="15.75" customHeight="1">
      <c r="A68" s="19">
        <f t="shared" si="2"/>
        <v>1</v>
      </c>
      <c r="B68" s="17">
        <v>45748</v>
      </c>
      <c r="C68" s="19" t="str">
        <f t="shared" si="3"/>
        <v>04</v>
      </c>
      <c r="D68" t="str">
        <f t="shared" si="4"/>
        <v>ABRIL</v>
      </c>
      <c r="E68" s="12" t="s">
        <v>25</v>
      </c>
      <c r="F68" t="str">
        <f>_xlfn.XLOOKUP(E68,MAPEO!$B:$B,MAPEO!$C:$C,"",0)</f>
        <v>Nutricion</v>
      </c>
      <c r="G68" t="s">
        <v>56</v>
      </c>
    </row>
    <row r="69" spans="1:8" ht="15.75" customHeight="1">
      <c r="A69" s="19">
        <v>1</v>
      </c>
      <c r="B69" s="17">
        <v>45778</v>
      </c>
      <c r="C69" s="19" t="str">
        <f t="shared" si="3"/>
        <v>05</v>
      </c>
      <c r="D69" t="str">
        <f t="shared" si="4"/>
        <v>MAYO</v>
      </c>
      <c r="E69" s="1" t="s">
        <v>3</v>
      </c>
      <c r="F69" t="str">
        <f>_xlfn.XLOOKUP(E69,MAPEO!$B:$B,MAPEO!$C:$C,"",0)</f>
        <v>Calistenia</v>
      </c>
      <c r="G69" t="str">
        <f>_xlfn.XLOOKUP(E69,MAPEO!$B:$B,MAPEO!$D:$D,"",0)</f>
        <v>Edd</v>
      </c>
      <c r="H69">
        <v>26</v>
      </c>
    </row>
    <row r="70" spans="1:8" ht="15.75" customHeight="1">
      <c r="A70" s="19">
        <f t="shared" ref="A70:A87" si="5">A69</f>
        <v>1</v>
      </c>
      <c r="B70" s="17">
        <v>45778</v>
      </c>
      <c r="C70" s="19" t="str">
        <f t="shared" si="3"/>
        <v>05</v>
      </c>
      <c r="D70" t="str">
        <f t="shared" si="4"/>
        <v>MAYO</v>
      </c>
      <c r="E70" s="2" t="s">
        <v>4</v>
      </c>
      <c r="F70" t="str">
        <f>_xlfn.XLOOKUP(E70,MAPEO!$B:$B,MAPEO!$C:$C,"",0)</f>
        <v>Calistenia</v>
      </c>
      <c r="G70" t="str">
        <f>_xlfn.XLOOKUP(E70,MAPEO!$B:$B,MAPEO!$D:$D,"",0)</f>
        <v>Martin</v>
      </c>
      <c r="H70">
        <v>38</v>
      </c>
    </row>
    <row r="71" spans="1:8" ht="15.75" customHeight="1">
      <c r="A71" s="19">
        <f t="shared" si="5"/>
        <v>1</v>
      </c>
      <c r="B71" s="17">
        <v>45778</v>
      </c>
      <c r="C71" s="19" t="str">
        <f t="shared" si="3"/>
        <v>05</v>
      </c>
      <c r="D71" t="str">
        <f t="shared" si="4"/>
        <v>MAYO</v>
      </c>
      <c r="E71" s="3" t="s">
        <v>5</v>
      </c>
      <c r="F71" t="str">
        <f>_xlfn.XLOOKUP(E71,MAPEO!$B:$B,MAPEO!$C:$C,"",0)</f>
        <v>Calistenia</v>
      </c>
      <c r="G71" t="str">
        <f>_xlfn.XLOOKUP(E71,MAPEO!$B:$B,MAPEO!$D:$D,"",0)</f>
        <v>Agus</v>
      </c>
      <c r="H71">
        <v>20</v>
      </c>
    </row>
    <row r="72" spans="1:8" ht="15.75" customHeight="1">
      <c r="A72" s="19">
        <f t="shared" si="5"/>
        <v>1</v>
      </c>
      <c r="B72" s="17">
        <v>45778</v>
      </c>
      <c r="C72" s="19" t="str">
        <f t="shared" si="3"/>
        <v>05</v>
      </c>
      <c r="D72" t="str">
        <f t="shared" si="4"/>
        <v>MAYO</v>
      </c>
      <c r="E72" s="4" t="s">
        <v>7</v>
      </c>
      <c r="F72" t="str">
        <f>_xlfn.XLOOKUP(E72,MAPEO!$B:$B,MAPEO!$C:$C,"",0)</f>
        <v>Calistenia</v>
      </c>
      <c r="G72" t="str">
        <f>_xlfn.XLOOKUP(E72,MAPEO!$B:$B,MAPEO!$D:$D,"",0)</f>
        <v>Lazaro</v>
      </c>
      <c r="H72">
        <v>16</v>
      </c>
    </row>
    <row r="73" spans="1:8" ht="15.75" customHeight="1">
      <c r="A73" s="19">
        <f t="shared" si="5"/>
        <v>1</v>
      </c>
      <c r="B73" s="17">
        <v>45778</v>
      </c>
      <c r="C73" s="19" t="str">
        <f t="shared" si="3"/>
        <v>05</v>
      </c>
      <c r="D73" t="str">
        <f t="shared" si="4"/>
        <v>MAYO</v>
      </c>
      <c r="E73" s="4" t="s">
        <v>44</v>
      </c>
      <c r="F73" t="str">
        <f>_xlfn.XLOOKUP(E73,MAPEO!$B:$B,MAPEO!$C:$C,"",0)</f>
        <v>Calistenia</v>
      </c>
      <c r="G73" t="str">
        <f>_xlfn.XLOOKUP(E73,MAPEO!$B:$B,MAPEO!$D:$D,"",0)</f>
        <v>Paula</v>
      </c>
      <c r="H73">
        <v>9</v>
      </c>
    </row>
    <row r="74" spans="1:8" ht="15.75" customHeight="1">
      <c r="A74" s="19">
        <f t="shared" si="5"/>
        <v>1</v>
      </c>
      <c r="B74" s="17">
        <v>45778</v>
      </c>
      <c r="C74" s="19" t="str">
        <f t="shared" si="3"/>
        <v>05</v>
      </c>
      <c r="D74" t="str">
        <f t="shared" si="4"/>
        <v>MAYO</v>
      </c>
      <c r="E74" s="5" t="s">
        <v>8</v>
      </c>
      <c r="F74" t="str">
        <f>_xlfn.XLOOKUP(E74,MAPEO!$B:$B,MAPEO!$C:$C,"",0)</f>
        <v>Boxeo</v>
      </c>
      <c r="G74" t="str">
        <f>_xlfn.XLOOKUP(E74,MAPEO!$B:$B,MAPEO!$D:$D,"",0)</f>
        <v>Mariano</v>
      </c>
      <c r="H74">
        <v>32</v>
      </c>
    </row>
    <row r="75" spans="1:8" ht="15.75" customHeight="1">
      <c r="A75" s="19">
        <f t="shared" si="5"/>
        <v>1</v>
      </c>
      <c r="B75" s="17">
        <v>45778</v>
      </c>
      <c r="C75" s="19" t="str">
        <f t="shared" si="3"/>
        <v>05</v>
      </c>
      <c r="D75" t="str">
        <f t="shared" si="4"/>
        <v>MAYO</v>
      </c>
      <c r="E75" s="6" t="s">
        <v>9</v>
      </c>
      <c r="F75" t="str">
        <f>_xlfn.XLOOKUP(E75,MAPEO!$B:$B,MAPEO!$C:$C,"",0)</f>
        <v>Boxeo</v>
      </c>
      <c r="G75" t="str">
        <f>_xlfn.XLOOKUP(E75,MAPEO!$B:$B,MAPEO!$D:$D,"",0)</f>
        <v>tito</v>
      </c>
      <c r="H75">
        <v>17</v>
      </c>
    </row>
    <row r="76" spans="1:8" ht="15.75" customHeight="1">
      <c r="A76" s="19">
        <f t="shared" si="5"/>
        <v>1</v>
      </c>
      <c r="B76" s="17">
        <v>45778</v>
      </c>
      <c r="C76" s="19" t="str">
        <f t="shared" si="3"/>
        <v>05</v>
      </c>
      <c r="D76" t="str">
        <f t="shared" si="4"/>
        <v>MAYO</v>
      </c>
      <c r="E76" s="1" t="s">
        <v>10</v>
      </c>
      <c r="F76" t="str">
        <f>_xlfn.XLOOKUP(E76,MAPEO!$B:$B,MAPEO!$C:$C,"",0)</f>
        <v xml:space="preserve">MMA </v>
      </c>
      <c r="G76" t="s">
        <v>56</v>
      </c>
      <c r="H76">
        <v>7</v>
      </c>
    </row>
    <row r="77" spans="1:8" ht="15.75" customHeight="1">
      <c r="A77" s="19">
        <f t="shared" si="5"/>
        <v>1</v>
      </c>
      <c r="B77" s="17">
        <v>45778</v>
      </c>
      <c r="C77" s="19" t="str">
        <f t="shared" si="3"/>
        <v>05</v>
      </c>
      <c r="D77" t="str">
        <f t="shared" si="4"/>
        <v>MAYO</v>
      </c>
      <c r="E77" s="7" t="s">
        <v>11</v>
      </c>
      <c r="F77" t="str">
        <f>_xlfn.XLOOKUP(E77,MAPEO!$B:$B,MAPEO!$C:$C,"",0)</f>
        <v>Karate</v>
      </c>
      <c r="G77" t="s">
        <v>56</v>
      </c>
      <c r="H77">
        <v>2</v>
      </c>
    </row>
    <row r="78" spans="1:8" ht="15.75" customHeight="1">
      <c r="A78" s="19">
        <f t="shared" si="5"/>
        <v>1</v>
      </c>
      <c r="B78" s="17">
        <v>45778</v>
      </c>
      <c r="C78" s="19" t="str">
        <f t="shared" si="3"/>
        <v>05</v>
      </c>
      <c r="D78" t="str">
        <f t="shared" si="4"/>
        <v>MAYO</v>
      </c>
      <c r="E78" s="3" t="s">
        <v>12</v>
      </c>
      <c r="F78" t="str">
        <f>_xlfn.XLOOKUP(E78,MAPEO!$B:$B,MAPEO!$C:$C,"",0)</f>
        <v>Tela</v>
      </c>
      <c r="G78" t="s">
        <v>56</v>
      </c>
      <c r="H78">
        <v>3</v>
      </c>
    </row>
    <row r="79" spans="1:8" ht="15.75" customHeight="1">
      <c r="A79" s="19">
        <f t="shared" si="5"/>
        <v>1</v>
      </c>
      <c r="B79" s="17">
        <v>45778</v>
      </c>
      <c r="C79" s="19" t="str">
        <f t="shared" si="3"/>
        <v>05</v>
      </c>
      <c r="D79" t="str">
        <f t="shared" si="4"/>
        <v>MAYO</v>
      </c>
      <c r="E79" s="8" t="s">
        <v>13</v>
      </c>
      <c r="F79" t="str">
        <f>_xlfn.XLOOKUP(E79,MAPEO!$B:$B,MAPEO!$C:$C,"",0)</f>
        <v>Lyra</v>
      </c>
      <c r="G79" t="s">
        <v>56</v>
      </c>
      <c r="H79">
        <v>7</v>
      </c>
    </row>
    <row r="80" spans="1:8" ht="15.75" customHeight="1">
      <c r="A80" s="19">
        <f t="shared" si="5"/>
        <v>1</v>
      </c>
      <c r="B80" s="17">
        <v>45778</v>
      </c>
      <c r="C80" s="19" t="str">
        <f t="shared" si="3"/>
        <v>05</v>
      </c>
      <c r="D80" t="str">
        <f t="shared" si="4"/>
        <v>MAYO</v>
      </c>
      <c r="E80" s="9" t="s">
        <v>14</v>
      </c>
      <c r="F80" t="str">
        <f>_xlfn.XLOOKUP(E80,MAPEO!$B:$B,MAPEO!$C:$C,"",0)</f>
        <v>Yoga y Yoga Columpio</v>
      </c>
      <c r="G80" t="s">
        <v>56</v>
      </c>
      <c r="H80">
        <v>2</v>
      </c>
    </row>
    <row r="81" spans="1:8" ht="15.75" customHeight="1">
      <c r="A81" s="19">
        <f t="shared" si="5"/>
        <v>1</v>
      </c>
      <c r="B81" s="17">
        <v>45778</v>
      </c>
      <c r="C81" s="19" t="str">
        <f t="shared" si="3"/>
        <v>05</v>
      </c>
      <c r="D81" t="str">
        <f t="shared" si="4"/>
        <v>MAYO</v>
      </c>
      <c r="E81" s="5" t="s">
        <v>15</v>
      </c>
      <c r="F81" t="str">
        <f>_xlfn.XLOOKUP(E81,MAPEO!$B:$B,MAPEO!$C:$C,"",0)</f>
        <v>Pole Sport</v>
      </c>
      <c r="G81" t="s">
        <v>56</v>
      </c>
      <c r="H81">
        <v>15</v>
      </c>
    </row>
    <row r="82" spans="1:8" ht="15.75" customHeight="1">
      <c r="A82" s="19">
        <f t="shared" si="5"/>
        <v>1</v>
      </c>
      <c r="B82" s="17">
        <v>45778</v>
      </c>
      <c r="C82" s="19" t="str">
        <f t="shared" si="3"/>
        <v>05</v>
      </c>
      <c r="D82" t="str">
        <f t="shared" si="4"/>
        <v>MAYO</v>
      </c>
      <c r="E82" s="10" t="s">
        <v>16</v>
      </c>
      <c r="F82" t="str">
        <f>_xlfn.XLOOKUP(E82,MAPEO!$B:$B,MAPEO!$C:$C,"",0)</f>
        <v>Acro Kids</v>
      </c>
      <c r="G82" t="s">
        <v>56</v>
      </c>
      <c r="H82">
        <v>6</v>
      </c>
    </row>
    <row r="83" spans="1:8" ht="15.75" customHeight="1">
      <c r="A83" s="19">
        <f t="shared" si="5"/>
        <v>1</v>
      </c>
      <c r="B83" s="17">
        <v>45778</v>
      </c>
      <c r="C83" s="19" t="str">
        <f t="shared" si="3"/>
        <v>05</v>
      </c>
      <c r="D83" t="str">
        <f t="shared" si="4"/>
        <v>MAYO</v>
      </c>
      <c r="E83" s="3" t="s">
        <v>17</v>
      </c>
      <c r="F83" t="str">
        <f>_xlfn.XLOOKUP(E83,MAPEO!$B:$B,MAPEO!$C:$C,"",0)</f>
        <v>Calistenia</v>
      </c>
      <c r="G83" t="s">
        <v>56</v>
      </c>
    </row>
    <row r="84" spans="1:8" ht="15.75" customHeight="1">
      <c r="A84" s="19">
        <f t="shared" si="5"/>
        <v>1</v>
      </c>
      <c r="B84" s="17">
        <v>45778</v>
      </c>
      <c r="C84" s="19" t="str">
        <f t="shared" si="3"/>
        <v>05</v>
      </c>
      <c r="D84" t="str">
        <f t="shared" si="4"/>
        <v>MAYO</v>
      </c>
      <c r="E84" s="11" t="s">
        <v>18</v>
      </c>
      <c r="F84" t="str">
        <f>_xlfn.XLOOKUP(E84,MAPEO!$B:$B,MAPEO!$C:$C,"",0)</f>
        <v>Movimiento Consciente</v>
      </c>
      <c r="G84" t="s">
        <v>56</v>
      </c>
      <c r="H84">
        <v>4</v>
      </c>
    </row>
    <row r="85" spans="1:8" ht="15.75" customHeight="1">
      <c r="A85" s="19">
        <f t="shared" si="5"/>
        <v>1</v>
      </c>
      <c r="B85" s="17">
        <v>45778</v>
      </c>
      <c r="C85" s="19" t="str">
        <f t="shared" si="3"/>
        <v>05</v>
      </c>
      <c r="D85" t="str">
        <f t="shared" si="4"/>
        <v>MAYO</v>
      </c>
      <c r="E85" s="5" t="s">
        <v>19</v>
      </c>
      <c r="F85" t="str">
        <f>_xlfn.XLOOKUP(E85,MAPEO!$B:$B,MAPEO!$C:$C,"",0)</f>
        <v>Cross Traning</v>
      </c>
      <c r="G85" t="s">
        <v>56</v>
      </c>
      <c r="H85">
        <v>2</v>
      </c>
    </row>
    <row r="86" spans="1:8" ht="15.75" customHeight="1">
      <c r="A86" s="19">
        <f t="shared" si="5"/>
        <v>1</v>
      </c>
      <c r="B86" s="17">
        <v>45778</v>
      </c>
      <c r="C86" s="19" t="str">
        <f t="shared" si="3"/>
        <v>05</v>
      </c>
      <c r="D86" t="str">
        <f t="shared" si="4"/>
        <v>MAYO</v>
      </c>
      <c r="E86" s="12" t="s">
        <v>20</v>
      </c>
      <c r="F86" t="str">
        <f>_xlfn.XLOOKUP(E86,MAPEO!$B:$B,MAPEO!$C:$C,"",0)</f>
        <v>Funcional</v>
      </c>
      <c r="G86" t="s">
        <v>56</v>
      </c>
      <c r="H86">
        <v>74</v>
      </c>
    </row>
    <row r="87" spans="1:8" ht="15.75" customHeight="1">
      <c r="A87" s="19">
        <f t="shared" si="5"/>
        <v>1</v>
      </c>
      <c r="B87" s="17">
        <v>45778</v>
      </c>
      <c r="C87" s="19" t="str">
        <f t="shared" si="3"/>
        <v>05</v>
      </c>
      <c r="D87" t="str">
        <f t="shared" si="4"/>
        <v>MAYO</v>
      </c>
      <c r="E87" s="13" t="s">
        <v>21</v>
      </c>
      <c r="F87" t="str">
        <f>_xlfn.XLOOKUP(E87,MAPEO!$B:$B,MAPEO!$C:$C,"",0)</f>
        <v>EFA</v>
      </c>
      <c r="G87" t="s">
        <v>56</v>
      </c>
      <c r="H87">
        <v>18</v>
      </c>
    </row>
    <row r="88" spans="1:8" ht="15.75" customHeight="1">
      <c r="A88" s="19">
        <v>1</v>
      </c>
      <c r="B88" s="17">
        <v>45809</v>
      </c>
      <c r="C88" s="19" t="str">
        <f t="shared" si="3"/>
        <v>06</v>
      </c>
      <c r="D88" t="str">
        <f t="shared" si="4"/>
        <v>JUNIO</v>
      </c>
      <c r="E88" s="1" t="s">
        <v>3</v>
      </c>
      <c r="F88" t="str">
        <f>_xlfn.XLOOKUP(E88,MAPEO!$B:$B,MAPEO!$C:$C,"",0)</f>
        <v>Calistenia</v>
      </c>
      <c r="G88" t="str">
        <f>_xlfn.XLOOKUP(E88,MAPEO!$B:$B,MAPEO!$D:$D,"",0)</f>
        <v>Edd</v>
      </c>
    </row>
    <row r="89" spans="1:8" ht="15.75" customHeight="1">
      <c r="A89" s="19">
        <f t="shared" ref="A89:A110" si="6">A88</f>
        <v>1</v>
      </c>
      <c r="B89" s="17">
        <v>45809</v>
      </c>
      <c r="C89" s="19" t="str">
        <f t="shared" si="3"/>
        <v>06</v>
      </c>
      <c r="D89" t="str">
        <f t="shared" si="4"/>
        <v>JUNIO</v>
      </c>
      <c r="E89" s="2" t="s">
        <v>4</v>
      </c>
      <c r="F89" t="str">
        <f>_xlfn.XLOOKUP(E89,MAPEO!$B:$B,MAPEO!$C:$C,"",0)</f>
        <v>Calistenia</v>
      </c>
      <c r="G89" t="str">
        <f>_xlfn.XLOOKUP(E89,MAPEO!$B:$B,MAPEO!$D:$D,"",0)</f>
        <v>Martin</v>
      </c>
    </row>
    <row r="90" spans="1:8" ht="15.75" customHeight="1">
      <c r="A90" s="19">
        <f t="shared" si="6"/>
        <v>1</v>
      </c>
      <c r="B90" s="17">
        <v>45809</v>
      </c>
      <c r="C90" s="19" t="str">
        <f t="shared" si="3"/>
        <v>06</v>
      </c>
      <c r="D90" t="str">
        <f t="shared" si="4"/>
        <v>JUNIO</v>
      </c>
      <c r="E90" s="3" t="s">
        <v>6</v>
      </c>
      <c r="F90" t="str">
        <f>_xlfn.XLOOKUP(E90,MAPEO!$B:$B,MAPEO!$C:$C,"",0)</f>
        <v>Calistenia</v>
      </c>
      <c r="G90" t="str">
        <f>_xlfn.XLOOKUP(E90,MAPEO!$B:$B,MAPEO!$D:$D,"",0)</f>
        <v>Agus</v>
      </c>
    </row>
    <row r="91" spans="1:8" ht="15.75" customHeight="1">
      <c r="A91" s="19">
        <f t="shared" si="6"/>
        <v>1</v>
      </c>
      <c r="B91" s="17">
        <v>45809</v>
      </c>
      <c r="C91" s="19" t="str">
        <f t="shared" si="3"/>
        <v>06</v>
      </c>
      <c r="D91" t="str">
        <f t="shared" si="4"/>
        <v>JUNIO</v>
      </c>
      <c r="E91" s="4" t="s">
        <v>7</v>
      </c>
      <c r="F91" t="str">
        <f>_xlfn.XLOOKUP(E91,MAPEO!$B:$B,MAPEO!$C:$C,"",0)</f>
        <v>Calistenia</v>
      </c>
      <c r="G91" t="str">
        <f>_xlfn.XLOOKUP(E91,MAPEO!$B:$B,MAPEO!$D:$D,"",0)</f>
        <v>Lazaro</v>
      </c>
    </row>
    <row r="92" spans="1:8" ht="15.75" customHeight="1">
      <c r="A92" s="19">
        <f t="shared" si="6"/>
        <v>1</v>
      </c>
      <c r="B92" s="17">
        <v>45809</v>
      </c>
      <c r="C92" s="19" t="str">
        <f t="shared" si="3"/>
        <v>06</v>
      </c>
      <c r="D92" t="str">
        <f t="shared" si="4"/>
        <v>JUNIO</v>
      </c>
      <c r="E92" s="4" t="s">
        <v>44</v>
      </c>
      <c r="F92" t="str">
        <f>_xlfn.XLOOKUP(E92,MAPEO!$B:$B,MAPEO!$C:$C,"",0)</f>
        <v>Calistenia</v>
      </c>
      <c r="G92" t="str">
        <f>_xlfn.XLOOKUP(E92,MAPEO!$B:$B,MAPEO!$D:$D,"",0)</f>
        <v>Paula</v>
      </c>
    </row>
    <row r="93" spans="1:8" ht="15.75" customHeight="1">
      <c r="A93" s="19">
        <f t="shared" si="6"/>
        <v>1</v>
      </c>
      <c r="B93" s="17">
        <v>45809</v>
      </c>
      <c r="C93" s="19" t="str">
        <f t="shared" si="3"/>
        <v>06</v>
      </c>
      <c r="D93" t="str">
        <f t="shared" si="4"/>
        <v>JUNIO</v>
      </c>
      <c r="E93" s="5" t="s">
        <v>8</v>
      </c>
      <c r="F93" t="str">
        <f>_xlfn.XLOOKUP(E93,MAPEO!$B:$B,MAPEO!$C:$C,"",0)</f>
        <v>Boxeo</v>
      </c>
      <c r="G93" t="str">
        <f>_xlfn.XLOOKUP(E93,MAPEO!$B:$B,MAPEO!$D:$D,"",0)</f>
        <v>Mariano</v>
      </c>
    </row>
    <row r="94" spans="1:8" ht="15.75" customHeight="1">
      <c r="A94" s="19">
        <f t="shared" si="6"/>
        <v>1</v>
      </c>
      <c r="B94" s="17">
        <v>45809</v>
      </c>
      <c r="C94" s="19" t="str">
        <f t="shared" si="3"/>
        <v>06</v>
      </c>
      <c r="D94" t="str">
        <f t="shared" si="4"/>
        <v>JUNIO</v>
      </c>
      <c r="E94" s="6" t="s">
        <v>9</v>
      </c>
      <c r="F94" t="str">
        <f>_xlfn.XLOOKUP(E94,MAPEO!$B:$B,MAPEO!$C:$C,"",0)</f>
        <v>Boxeo</v>
      </c>
      <c r="G94" t="str">
        <f>_xlfn.XLOOKUP(E94,MAPEO!$B:$B,MAPEO!$D:$D,"",0)</f>
        <v>tito</v>
      </c>
    </row>
    <row r="95" spans="1:8" ht="15.75" customHeight="1">
      <c r="A95" s="19">
        <f t="shared" si="6"/>
        <v>1</v>
      </c>
      <c r="B95" s="17">
        <v>45809</v>
      </c>
      <c r="C95" s="19" t="str">
        <f t="shared" si="3"/>
        <v>06</v>
      </c>
      <c r="D95" t="str">
        <f t="shared" si="4"/>
        <v>JUNIO</v>
      </c>
      <c r="E95" s="1" t="s">
        <v>10</v>
      </c>
      <c r="F95" t="str">
        <f>_xlfn.XLOOKUP(E95,MAPEO!$B:$B,MAPEO!$C:$C,"",0)</f>
        <v xml:space="preserve">MMA </v>
      </c>
      <c r="G95" t="s">
        <v>56</v>
      </c>
    </row>
    <row r="96" spans="1:8" ht="15.75" customHeight="1">
      <c r="A96" s="19">
        <f t="shared" si="6"/>
        <v>1</v>
      </c>
      <c r="B96" s="17">
        <v>45809</v>
      </c>
      <c r="C96" s="19" t="str">
        <f t="shared" si="3"/>
        <v>06</v>
      </c>
      <c r="D96" t="str">
        <f t="shared" si="4"/>
        <v>JUNIO</v>
      </c>
      <c r="E96" s="7" t="s">
        <v>11</v>
      </c>
      <c r="F96" t="str">
        <f>_xlfn.XLOOKUP(E96,MAPEO!$B:$B,MAPEO!$C:$C,"",0)</f>
        <v>Karate</v>
      </c>
      <c r="G96" t="s">
        <v>56</v>
      </c>
    </row>
    <row r="97" spans="1:7" ht="15.75" customHeight="1">
      <c r="A97" s="19">
        <f t="shared" si="6"/>
        <v>1</v>
      </c>
      <c r="B97" s="17">
        <v>45809</v>
      </c>
      <c r="C97" s="19" t="str">
        <f t="shared" si="3"/>
        <v>06</v>
      </c>
      <c r="D97" t="str">
        <f t="shared" si="4"/>
        <v>JUNIO</v>
      </c>
      <c r="E97" s="12" t="s">
        <v>22</v>
      </c>
      <c r="F97" t="str">
        <f>_xlfn.XLOOKUP(E97,MAPEO!$B:$B,MAPEO!$C:$C,"",0)</f>
        <v>Taekwondo</v>
      </c>
      <c r="G97" t="s">
        <v>56</v>
      </c>
    </row>
    <row r="98" spans="1:7" ht="15.75" customHeight="1">
      <c r="A98" s="19">
        <f t="shared" si="6"/>
        <v>1</v>
      </c>
      <c r="B98" s="17">
        <v>45809</v>
      </c>
      <c r="C98" s="19" t="str">
        <f t="shared" si="3"/>
        <v>06</v>
      </c>
      <c r="D98" t="str">
        <f t="shared" si="4"/>
        <v>JUNIO</v>
      </c>
      <c r="E98" s="3" t="s">
        <v>12</v>
      </c>
      <c r="F98" t="str">
        <f>_xlfn.XLOOKUP(E98,MAPEO!$B:$B,MAPEO!$C:$C,"",0)</f>
        <v>Tela</v>
      </c>
      <c r="G98" t="s">
        <v>56</v>
      </c>
    </row>
    <row r="99" spans="1:7" ht="15.75" customHeight="1">
      <c r="A99" s="19">
        <f t="shared" si="6"/>
        <v>1</v>
      </c>
      <c r="B99" s="17">
        <v>45809</v>
      </c>
      <c r="C99" s="19" t="str">
        <f t="shared" si="3"/>
        <v>06</v>
      </c>
      <c r="D99" t="str">
        <f t="shared" si="4"/>
        <v>JUNIO</v>
      </c>
      <c r="E99" s="8" t="s">
        <v>13</v>
      </c>
      <c r="F99" t="str">
        <f>_xlfn.XLOOKUP(E99,MAPEO!$B:$B,MAPEO!$C:$C,"",0)</f>
        <v>Lyra</v>
      </c>
      <c r="G99" t="s">
        <v>56</v>
      </c>
    </row>
    <row r="100" spans="1:7" ht="15.75" customHeight="1">
      <c r="A100" s="19">
        <f t="shared" si="6"/>
        <v>1</v>
      </c>
      <c r="B100" s="17">
        <v>45809</v>
      </c>
      <c r="C100" s="19" t="str">
        <f t="shared" si="3"/>
        <v>06</v>
      </c>
      <c r="D100" t="str">
        <f t="shared" si="4"/>
        <v>JUNIO</v>
      </c>
      <c r="E100" s="13" t="s">
        <v>14</v>
      </c>
      <c r="F100" t="str">
        <f>_xlfn.XLOOKUP(E100,MAPEO!$B:$B,MAPEO!$C:$C,"",0)</f>
        <v>Yoga y Yoga Columpio</v>
      </c>
      <c r="G100" t="s">
        <v>56</v>
      </c>
    </row>
    <row r="101" spans="1:7" ht="15.75" customHeight="1">
      <c r="A101" s="19">
        <f t="shared" si="6"/>
        <v>1</v>
      </c>
      <c r="B101" s="17">
        <v>45809</v>
      </c>
      <c r="C101" s="19" t="str">
        <f t="shared" si="3"/>
        <v>06</v>
      </c>
      <c r="D101" t="str">
        <f t="shared" si="4"/>
        <v>JUNIO</v>
      </c>
      <c r="E101" s="5" t="s">
        <v>15</v>
      </c>
      <c r="F101" t="str">
        <f>_xlfn.XLOOKUP(E101,MAPEO!$B:$B,MAPEO!$C:$C,"",0)</f>
        <v>Pole Sport</v>
      </c>
      <c r="G101" t="s">
        <v>56</v>
      </c>
    </row>
    <row r="102" spans="1:7" ht="15.75" customHeight="1">
      <c r="A102" s="19">
        <f t="shared" si="6"/>
        <v>1</v>
      </c>
      <c r="B102" s="17">
        <v>45809</v>
      </c>
      <c r="C102" s="19" t="str">
        <f t="shared" si="3"/>
        <v>06</v>
      </c>
      <c r="D102" t="str">
        <f t="shared" si="4"/>
        <v>JUNIO</v>
      </c>
      <c r="E102" s="20" t="s">
        <v>16</v>
      </c>
      <c r="F102" t="str">
        <f>_xlfn.XLOOKUP(E102,MAPEO!$B:$B,MAPEO!$C:$C,"",0)</f>
        <v>Acro Kids</v>
      </c>
      <c r="G102" t="s">
        <v>56</v>
      </c>
    </row>
    <row r="103" spans="1:7" ht="15.75" customHeight="1">
      <c r="A103" s="19">
        <f t="shared" si="6"/>
        <v>1</v>
      </c>
      <c r="B103" s="17">
        <v>45809</v>
      </c>
      <c r="C103" s="19" t="str">
        <f t="shared" si="3"/>
        <v>06</v>
      </c>
      <c r="D103" t="str">
        <f t="shared" si="4"/>
        <v>JUNIO</v>
      </c>
      <c r="E103" s="3" t="s">
        <v>17</v>
      </c>
      <c r="F103" t="str">
        <f>_xlfn.XLOOKUP(E103,MAPEO!$B:$B,MAPEO!$C:$C,"",0)</f>
        <v>Calistenia</v>
      </c>
      <c r="G103" t="s">
        <v>56</v>
      </c>
    </row>
    <row r="104" spans="1:7" ht="15.75" customHeight="1">
      <c r="A104" s="19">
        <f t="shared" si="6"/>
        <v>1</v>
      </c>
      <c r="B104" s="17">
        <v>45809</v>
      </c>
      <c r="C104" s="19" t="str">
        <f t="shared" si="3"/>
        <v>06</v>
      </c>
      <c r="D104" t="str">
        <f t="shared" si="4"/>
        <v>JUNIO</v>
      </c>
      <c r="E104" s="11" t="s">
        <v>18</v>
      </c>
      <c r="F104" t="str">
        <f>_xlfn.XLOOKUP(E104,MAPEO!$B:$B,MAPEO!$C:$C,"",0)</f>
        <v>Movimiento Consciente</v>
      </c>
      <c r="G104" t="s">
        <v>56</v>
      </c>
    </row>
    <row r="105" spans="1:7" ht="15.75" customHeight="1">
      <c r="A105" s="19">
        <f t="shared" si="6"/>
        <v>1</v>
      </c>
      <c r="B105" s="17">
        <v>45809</v>
      </c>
      <c r="C105" s="19" t="str">
        <f t="shared" si="3"/>
        <v>06</v>
      </c>
      <c r="D105" t="str">
        <f t="shared" si="4"/>
        <v>JUNIO</v>
      </c>
      <c r="E105" s="5" t="s">
        <v>19</v>
      </c>
      <c r="F105" t="str">
        <f>_xlfn.XLOOKUP(E105,MAPEO!$B:$B,MAPEO!$C:$C,"",0)</f>
        <v>Cross Traning</v>
      </c>
      <c r="G105" t="s">
        <v>56</v>
      </c>
    </row>
    <row r="106" spans="1:7" ht="15.75" customHeight="1">
      <c r="A106" s="19">
        <f t="shared" si="6"/>
        <v>1</v>
      </c>
      <c r="B106" s="17">
        <v>45809</v>
      </c>
      <c r="C106" s="19" t="str">
        <f t="shared" si="3"/>
        <v>06</v>
      </c>
      <c r="D106" t="str">
        <f t="shared" si="4"/>
        <v>JUNIO</v>
      </c>
      <c r="E106" s="12" t="s">
        <v>20</v>
      </c>
      <c r="F106" t="str">
        <f>_xlfn.XLOOKUP(E106,MAPEO!$B:$B,MAPEO!$C:$C,"",0)</f>
        <v>Funcional</v>
      </c>
      <c r="G106" t="s">
        <v>56</v>
      </c>
    </row>
    <row r="107" spans="1:7" ht="15.75" customHeight="1">
      <c r="A107" s="19">
        <f t="shared" si="6"/>
        <v>1</v>
      </c>
      <c r="B107" s="17">
        <v>45809</v>
      </c>
      <c r="C107" s="19" t="str">
        <f t="shared" si="3"/>
        <v>06</v>
      </c>
      <c r="D107" t="str">
        <f t="shared" si="4"/>
        <v>JUNIO</v>
      </c>
      <c r="E107" s="13" t="s">
        <v>21</v>
      </c>
      <c r="F107" t="str">
        <f>_xlfn.XLOOKUP(E107,MAPEO!$B:$B,MAPEO!$C:$C,"",0)</f>
        <v>EFA</v>
      </c>
      <c r="G107" t="s">
        <v>56</v>
      </c>
    </row>
    <row r="108" spans="1:7" ht="15.75" customHeight="1">
      <c r="A108" s="19">
        <f t="shared" si="6"/>
        <v>1</v>
      </c>
      <c r="B108" s="17">
        <v>45809</v>
      </c>
      <c r="C108" s="19" t="str">
        <f t="shared" si="3"/>
        <v>06</v>
      </c>
      <c r="D108" t="str">
        <f t="shared" si="4"/>
        <v>JUNIO</v>
      </c>
      <c r="E108" s="14" t="s">
        <v>23</v>
      </c>
      <c r="F108" t="str">
        <f>_xlfn.XLOOKUP(E108,MAPEO!$B:$B,MAPEO!$C:$C,"",0)</f>
        <v>Personalizados</v>
      </c>
      <c r="G108" t="str">
        <f>_xlfn.XLOOKUP(E108,MAPEO!$B:$B,MAPEO!$D:$D,"",0)</f>
        <v>Marco</v>
      </c>
    </row>
    <row r="109" spans="1:7" ht="15.75" customHeight="1">
      <c r="A109" s="19">
        <f t="shared" si="6"/>
        <v>1</v>
      </c>
      <c r="B109" s="17">
        <v>45809</v>
      </c>
      <c r="C109" s="19" t="str">
        <f t="shared" si="3"/>
        <v>06</v>
      </c>
      <c r="D109" t="str">
        <f t="shared" si="4"/>
        <v>JUNIO</v>
      </c>
      <c r="E109" s="5" t="s">
        <v>24</v>
      </c>
      <c r="F109" t="str">
        <f>_xlfn.XLOOKUP(E109,MAPEO!$B:$B,MAPEO!$C:$C,"",0)</f>
        <v>Personalizados</v>
      </c>
      <c r="G109" t="str">
        <f>_xlfn.XLOOKUP(E109,MAPEO!$B:$B,MAPEO!$D:$D,"",0)</f>
        <v>Lean</v>
      </c>
    </row>
    <row r="110" spans="1:7" ht="15.75" customHeight="1">
      <c r="A110" s="19">
        <f t="shared" si="6"/>
        <v>1</v>
      </c>
      <c r="B110" s="17">
        <v>45809</v>
      </c>
      <c r="C110" s="19" t="str">
        <f t="shared" si="3"/>
        <v>06</v>
      </c>
      <c r="D110" t="str">
        <f t="shared" si="4"/>
        <v>JUNIO</v>
      </c>
      <c r="E110" s="12" t="s">
        <v>25</v>
      </c>
      <c r="F110" t="str">
        <f>_xlfn.XLOOKUP(E110,MAPEO!$B:$B,MAPEO!$C:$C,"",0)</f>
        <v>Nutricion</v>
      </c>
      <c r="G110" t="s">
        <v>56</v>
      </c>
    </row>
    <row r="111" spans="1:7" ht="15.75" customHeight="1">
      <c r="A111" s="19">
        <v>2</v>
      </c>
      <c r="B111" s="17">
        <v>45689</v>
      </c>
      <c r="C111" s="19" t="str">
        <f t="shared" si="3"/>
        <v>02</v>
      </c>
      <c r="D111" t="str">
        <f t="shared" si="4"/>
        <v>FEBRERO</v>
      </c>
      <c r="E111" s="1" t="s">
        <v>3</v>
      </c>
      <c r="F111" t="str">
        <f>_xlfn.XLOOKUP(E111,MAPEO!$B:$B,MAPEO!$C:$C,"",0)</f>
        <v>Calistenia</v>
      </c>
      <c r="G111" t="str">
        <f>_xlfn.XLOOKUP(E111,MAPEO!$B:$B,MAPEO!$D:$D,"",0)</f>
        <v>Edd</v>
      </c>
    </row>
    <row r="112" spans="1:7" ht="15.75" customHeight="1">
      <c r="A112" s="19">
        <v>2</v>
      </c>
      <c r="B112" s="17">
        <v>45689</v>
      </c>
      <c r="C112" s="19" t="str">
        <f t="shared" si="3"/>
        <v>02</v>
      </c>
      <c r="D112" t="str">
        <f t="shared" si="4"/>
        <v>FEBRERO</v>
      </c>
      <c r="E112" s="2" t="s">
        <v>4</v>
      </c>
      <c r="F112" t="str">
        <f>_xlfn.XLOOKUP(E112,MAPEO!$B:$B,MAPEO!$C:$C,"",0)</f>
        <v>Calistenia</v>
      </c>
      <c r="G112" t="str">
        <f>_xlfn.XLOOKUP(E112,MAPEO!$B:$B,MAPEO!$D:$D,"",0)</f>
        <v>Martin</v>
      </c>
    </row>
    <row r="113" spans="1:7" ht="15.75" customHeight="1">
      <c r="A113" s="19">
        <v>2</v>
      </c>
      <c r="B113" s="17">
        <v>45689</v>
      </c>
      <c r="C113" s="19" t="str">
        <f t="shared" si="3"/>
        <v>02</v>
      </c>
      <c r="D113" t="str">
        <f t="shared" si="4"/>
        <v>FEBRERO</v>
      </c>
      <c r="E113" s="3" t="s">
        <v>6</v>
      </c>
      <c r="F113" t="str">
        <f>_xlfn.XLOOKUP(E113,MAPEO!$B:$B,MAPEO!$C:$C,"",0)</f>
        <v>Calistenia</v>
      </c>
      <c r="G113" t="str">
        <f>_xlfn.XLOOKUP(E113,MAPEO!$B:$B,MAPEO!$D:$D,"",0)</f>
        <v>Agus</v>
      </c>
    </row>
    <row r="114" spans="1:7" ht="15.75" customHeight="1">
      <c r="A114" s="19">
        <v>2</v>
      </c>
      <c r="B114" s="17">
        <v>45689</v>
      </c>
      <c r="C114" s="19" t="str">
        <f t="shared" si="3"/>
        <v>02</v>
      </c>
      <c r="D114" t="str">
        <f t="shared" si="4"/>
        <v>FEBRERO</v>
      </c>
      <c r="E114" s="4" t="s">
        <v>7</v>
      </c>
      <c r="F114" t="str">
        <f>_xlfn.XLOOKUP(E114,MAPEO!$B:$B,MAPEO!$C:$C,"",0)</f>
        <v>Calistenia</v>
      </c>
      <c r="G114" t="str">
        <f>_xlfn.XLOOKUP(E114,MAPEO!$B:$B,MAPEO!$D:$D,"",0)</f>
        <v>Lazaro</v>
      </c>
    </row>
    <row r="115" spans="1:7" ht="15.75" customHeight="1">
      <c r="A115" s="19">
        <v>2</v>
      </c>
      <c r="B115" s="17">
        <v>45689</v>
      </c>
      <c r="C115" s="19" t="str">
        <f t="shared" si="3"/>
        <v>02</v>
      </c>
      <c r="D115" t="str">
        <f t="shared" si="4"/>
        <v>FEBRERO</v>
      </c>
      <c r="E115" s="4" t="s">
        <v>44</v>
      </c>
      <c r="F115" t="str">
        <f>_xlfn.XLOOKUP(E115,MAPEO!$B:$B,MAPEO!$C:$C,"",0)</f>
        <v>Calistenia</v>
      </c>
      <c r="G115" t="str">
        <f>_xlfn.XLOOKUP(E115,MAPEO!$B:$B,MAPEO!$D:$D,"",0)</f>
        <v>Paula</v>
      </c>
    </row>
    <row r="116" spans="1:7" ht="15.75" customHeight="1">
      <c r="A116" s="19">
        <v>2</v>
      </c>
      <c r="B116" s="17">
        <v>45689</v>
      </c>
      <c r="C116" s="19" t="str">
        <f t="shared" si="3"/>
        <v>02</v>
      </c>
      <c r="D116" t="str">
        <f t="shared" si="4"/>
        <v>FEBRERO</v>
      </c>
      <c r="E116" s="5" t="s">
        <v>8</v>
      </c>
      <c r="F116" t="str">
        <f>_xlfn.XLOOKUP(E116,MAPEO!$B:$B,MAPEO!$C:$C,"",0)</f>
        <v>Boxeo</v>
      </c>
      <c r="G116" t="str">
        <f>_xlfn.XLOOKUP(E116,MAPEO!$B:$B,MAPEO!$D:$D,"",0)</f>
        <v>Mariano</v>
      </c>
    </row>
    <row r="117" spans="1:7" ht="15.75" customHeight="1">
      <c r="A117" s="19">
        <v>2</v>
      </c>
      <c r="B117" s="17">
        <v>45689</v>
      </c>
      <c r="C117" s="19" t="str">
        <f t="shared" si="3"/>
        <v>02</v>
      </c>
      <c r="D117" t="str">
        <f t="shared" si="4"/>
        <v>FEBRERO</v>
      </c>
      <c r="E117" s="6" t="s">
        <v>9</v>
      </c>
      <c r="F117" t="str">
        <f>_xlfn.XLOOKUP(E117,MAPEO!$B:$B,MAPEO!$C:$C,"",0)</f>
        <v>Boxeo</v>
      </c>
      <c r="G117" t="str">
        <f>_xlfn.XLOOKUP(E117,MAPEO!$B:$B,MAPEO!$D:$D,"",0)</f>
        <v>tito</v>
      </c>
    </row>
    <row r="118" spans="1:7" ht="15.75" customHeight="1">
      <c r="A118" s="19">
        <v>2</v>
      </c>
      <c r="B118" s="17">
        <v>45689</v>
      </c>
      <c r="C118" s="19" t="str">
        <f t="shared" si="3"/>
        <v>02</v>
      </c>
      <c r="D118" t="str">
        <f t="shared" si="4"/>
        <v>FEBRERO</v>
      </c>
      <c r="E118" s="1" t="s">
        <v>30</v>
      </c>
      <c r="F118" t="str">
        <f>_xlfn.XLOOKUP(E118,MAPEO!$B:$B,MAPEO!$C:$C,"",0)</f>
        <v>MMA+BOXEO</v>
      </c>
      <c r="G118" t="s">
        <v>56</v>
      </c>
    </row>
    <row r="119" spans="1:7" ht="15.75" customHeight="1">
      <c r="A119" s="19">
        <v>2</v>
      </c>
      <c r="B119" s="17">
        <v>45689</v>
      </c>
      <c r="C119" s="19" t="str">
        <f t="shared" si="3"/>
        <v>02</v>
      </c>
      <c r="D119" t="str">
        <f t="shared" si="4"/>
        <v>FEBRERO</v>
      </c>
      <c r="E119" s="7" t="s">
        <v>11</v>
      </c>
      <c r="F119" t="str">
        <f>_xlfn.XLOOKUP(E119,MAPEO!$B:$B,MAPEO!$C:$C,"",0)</f>
        <v>Karate</v>
      </c>
      <c r="G119" t="s">
        <v>56</v>
      </c>
    </row>
    <row r="120" spans="1:7" ht="15.75" customHeight="1">
      <c r="A120" s="19">
        <v>2</v>
      </c>
      <c r="B120" s="17">
        <v>45689</v>
      </c>
      <c r="C120" s="19" t="str">
        <f t="shared" si="3"/>
        <v>02</v>
      </c>
      <c r="D120" t="str">
        <f t="shared" si="4"/>
        <v>FEBRERO</v>
      </c>
      <c r="E120" s="12" t="s">
        <v>22</v>
      </c>
      <c r="F120" t="str">
        <f>_xlfn.XLOOKUP(E120,MAPEO!$B:$B,MAPEO!$C:$C,"",0)</f>
        <v>Taekwondo</v>
      </c>
      <c r="G120" t="s">
        <v>56</v>
      </c>
    </row>
    <row r="121" spans="1:7" ht="15.75" customHeight="1">
      <c r="A121" s="19">
        <v>2</v>
      </c>
      <c r="B121" s="17">
        <v>45689</v>
      </c>
      <c r="C121" s="19" t="str">
        <f t="shared" si="3"/>
        <v>02</v>
      </c>
      <c r="D121" t="str">
        <f t="shared" si="4"/>
        <v>FEBRERO</v>
      </c>
      <c r="E121" s="3" t="s">
        <v>12</v>
      </c>
      <c r="F121" t="str">
        <f>_xlfn.XLOOKUP(E121,MAPEO!$B:$B,MAPEO!$C:$C,"",0)</f>
        <v>Tela</v>
      </c>
      <c r="G121" t="s">
        <v>56</v>
      </c>
    </row>
    <row r="122" spans="1:7" ht="15.75" customHeight="1">
      <c r="A122" s="19">
        <v>2</v>
      </c>
      <c r="B122" s="17">
        <v>45689</v>
      </c>
      <c r="C122" s="19" t="str">
        <f t="shared" si="3"/>
        <v>02</v>
      </c>
      <c r="D122" t="str">
        <f t="shared" si="4"/>
        <v>FEBRERO</v>
      </c>
      <c r="E122" s="8" t="s">
        <v>13</v>
      </c>
      <c r="F122" t="str">
        <f>_xlfn.XLOOKUP(E122,MAPEO!$B:$B,MAPEO!$C:$C,"",0)</f>
        <v>Lyra</v>
      </c>
      <c r="G122" t="s">
        <v>56</v>
      </c>
    </row>
    <row r="123" spans="1:7" ht="15.75" customHeight="1">
      <c r="A123" s="19">
        <v>2</v>
      </c>
      <c r="B123" s="17">
        <v>45689</v>
      </c>
      <c r="C123" s="19" t="str">
        <f t="shared" si="3"/>
        <v>02</v>
      </c>
      <c r="D123" t="str">
        <f t="shared" si="4"/>
        <v>FEBRERO</v>
      </c>
      <c r="E123" s="9" t="s">
        <v>14</v>
      </c>
      <c r="F123" t="str">
        <f>_xlfn.XLOOKUP(E123,MAPEO!$B:$B,MAPEO!$C:$C,"",0)</f>
        <v>Yoga y Yoga Columpio</v>
      </c>
      <c r="G123" t="s">
        <v>56</v>
      </c>
    </row>
    <row r="124" spans="1:7" ht="15.75" customHeight="1">
      <c r="A124" s="19">
        <v>2</v>
      </c>
      <c r="B124" s="17">
        <v>45689</v>
      </c>
      <c r="C124" s="19" t="str">
        <f t="shared" si="3"/>
        <v>02</v>
      </c>
      <c r="D124" t="str">
        <f t="shared" si="4"/>
        <v>FEBRERO</v>
      </c>
      <c r="E124" s="5" t="s">
        <v>15</v>
      </c>
      <c r="F124" t="str">
        <f>_xlfn.XLOOKUP(E124,MAPEO!$B:$B,MAPEO!$C:$C,"",0)</f>
        <v>Pole Sport</v>
      </c>
      <c r="G124" t="s">
        <v>56</v>
      </c>
    </row>
    <row r="125" spans="1:7" ht="15.75" customHeight="1">
      <c r="A125" s="19">
        <v>2</v>
      </c>
      <c r="B125" s="17">
        <v>45689</v>
      </c>
      <c r="C125" s="19" t="str">
        <f t="shared" si="3"/>
        <v>02</v>
      </c>
      <c r="D125" t="str">
        <f t="shared" si="4"/>
        <v>FEBRERO</v>
      </c>
      <c r="E125" s="10" t="s">
        <v>16</v>
      </c>
      <c r="F125" t="str">
        <f>_xlfn.XLOOKUP(E125,MAPEO!$B:$B,MAPEO!$C:$C,"",0)</f>
        <v>Acro Kids</v>
      </c>
      <c r="G125" t="s">
        <v>56</v>
      </c>
    </row>
    <row r="126" spans="1:7" ht="15.75" customHeight="1">
      <c r="A126" s="19">
        <v>2</v>
      </c>
      <c r="B126" s="17">
        <v>45689</v>
      </c>
      <c r="C126" s="19" t="str">
        <f t="shared" si="3"/>
        <v>02</v>
      </c>
      <c r="D126" t="str">
        <f t="shared" si="4"/>
        <v>FEBRERO</v>
      </c>
      <c r="E126" s="3" t="s">
        <v>17</v>
      </c>
      <c r="F126" t="str">
        <f>_xlfn.XLOOKUP(E126,MAPEO!$B:$B,MAPEO!$C:$C,"",0)</f>
        <v>Calistenia</v>
      </c>
      <c r="G126" t="s">
        <v>56</v>
      </c>
    </row>
    <row r="127" spans="1:7" ht="15.75" customHeight="1">
      <c r="A127" s="19">
        <v>2</v>
      </c>
      <c r="B127" s="17">
        <v>45689</v>
      </c>
      <c r="C127" s="19" t="str">
        <f t="shared" si="3"/>
        <v>02</v>
      </c>
      <c r="D127" t="str">
        <f t="shared" si="4"/>
        <v>FEBRERO</v>
      </c>
      <c r="E127" s="11" t="s">
        <v>18</v>
      </c>
      <c r="F127" t="str">
        <f>_xlfn.XLOOKUP(E127,MAPEO!$B:$B,MAPEO!$C:$C,"",0)</f>
        <v>Movimiento Consciente</v>
      </c>
      <c r="G127" t="s">
        <v>56</v>
      </c>
    </row>
    <row r="128" spans="1:7" ht="15.75" customHeight="1">
      <c r="A128" s="19">
        <v>2</v>
      </c>
      <c r="B128" s="17">
        <v>45689</v>
      </c>
      <c r="C128" s="19" t="str">
        <f t="shared" si="3"/>
        <v>02</v>
      </c>
      <c r="D128" t="str">
        <f t="shared" si="4"/>
        <v>FEBRERO</v>
      </c>
      <c r="E128" s="5" t="s">
        <v>19</v>
      </c>
      <c r="F128" t="str">
        <f>_xlfn.XLOOKUP(E128,MAPEO!$B:$B,MAPEO!$C:$C,"",0)</f>
        <v>Cross Traning</v>
      </c>
      <c r="G128" t="s">
        <v>56</v>
      </c>
    </row>
    <row r="129" spans="1:8" ht="15.75" customHeight="1">
      <c r="A129" s="19">
        <v>2</v>
      </c>
      <c r="B129" s="17">
        <v>45689</v>
      </c>
      <c r="C129" s="19" t="str">
        <f t="shared" si="3"/>
        <v>02</v>
      </c>
      <c r="D129" t="str">
        <f t="shared" si="4"/>
        <v>FEBRERO</v>
      </c>
      <c r="E129" s="12" t="s">
        <v>20</v>
      </c>
      <c r="F129" t="str">
        <f>_xlfn.XLOOKUP(E129,MAPEO!$B:$B,MAPEO!$C:$C,"",0)</f>
        <v>Funcional</v>
      </c>
      <c r="G129" t="s">
        <v>56</v>
      </c>
    </row>
    <row r="130" spans="1:8" ht="15.75" customHeight="1">
      <c r="A130" s="19">
        <v>2</v>
      </c>
      <c r="B130" s="17">
        <v>45689</v>
      </c>
      <c r="C130" s="19" t="str">
        <f t="shared" ref="C130:C193" si="7">TEXT(B130,"mm")</f>
        <v>02</v>
      </c>
      <c r="D130" t="str">
        <f t="shared" ref="D130:D193" si="8">UPPER(TEXT(B130,"mmmm"))</f>
        <v>FEBRERO</v>
      </c>
      <c r="E130" s="13" t="s">
        <v>21</v>
      </c>
      <c r="F130" t="str">
        <f>_xlfn.XLOOKUP(E130,MAPEO!$B:$B,MAPEO!$C:$C,"",0)</f>
        <v>EFA</v>
      </c>
      <c r="G130" t="s">
        <v>56</v>
      </c>
    </row>
    <row r="131" spans="1:8" ht="15.75" customHeight="1">
      <c r="A131" s="19">
        <v>2</v>
      </c>
      <c r="B131" s="17">
        <v>45689</v>
      </c>
      <c r="C131" s="19" t="str">
        <f t="shared" si="7"/>
        <v>02</v>
      </c>
      <c r="D131" t="str">
        <f t="shared" si="8"/>
        <v>FEBRERO</v>
      </c>
      <c r="E131" s="14" t="s">
        <v>23</v>
      </c>
      <c r="F131" t="str">
        <f>_xlfn.XLOOKUP(E131,MAPEO!$B:$B,MAPEO!$C:$C,"",0)</f>
        <v>Personalizados</v>
      </c>
      <c r="G131" t="str">
        <f>_xlfn.XLOOKUP(E131,MAPEO!$B:$B,MAPEO!$D:$D,"",0)</f>
        <v>Marco</v>
      </c>
    </row>
    <row r="132" spans="1:8" ht="15.75" customHeight="1">
      <c r="A132" s="19">
        <v>2</v>
      </c>
      <c r="B132" s="17">
        <v>45689</v>
      </c>
      <c r="C132" s="19" t="str">
        <f t="shared" si="7"/>
        <v>02</v>
      </c>
      <c r="D132" t="str">
        <f t="shared" si="8"/>
        <v>FEBRERO</v>
      </c>
      <c r="E132" s="5" t="s">
        <v>24</v>
      </c>
      <c r="F132" t="str">
        <f>_xlfn.XLOOKUP(E132,MAPEO!$B:$B,MAPEO!$C:$C,"",0)</f>
        <v>Personalizados</v>
      </c>
      <c r="G132" t="str">
        <f>_xlfn.XLOOKUP(E132,MAPEO!$B:$B,MAPEO!$D:$D,"",0)</f>
        <v>Lean</v>
      </c>
    </row>
    <row r="133" spans="1:8" ht="15.75" customHeight="1">
      <c r="A133" s="19">
        <v>2</v>
      </c>
      <c r="B133" s="17">
        <v>45717</v>
      </c>
      <c r="C133" s="19" t="str">
        <f t="shared" si="7"/>
        <v>03</v>
      </c>
      <c r="D133" t="str">
        <f t="shared" si="8"/>
        <v>MARZO</v>
      </c>
      <c r="E133" s="27" t="s">
        <v>3</v>
      </c>
      <c r="F133" t="str">
        <f>_xlfn.XLOOKUP(E133,MAPEO!$B:$B,MAPEO!$C:$C,"",0)</f>
        <v>Calistenia</v>
      </c>
      <c r="G133" t="str">
        <f>_xlfn.XLOOKUP(E133,MAPEO!$B:$B,MAPEO!$D:$D,"",0)</f>
        <v>Edd</v>
      </c>
      <c r="H133">
        <v>38</v>
      </c>
    </row>
    <row r="134" spans="1:8" ht="15.75" customHeight="1">
      <c r="A134" s="19">
        <v>2</v>
      </c>
      <c r="B134" s="17">
        <v>45717</v>
      </c>
      <c r="C134" s="19" t="str">
        <f t="shared" si="7"/>
        <v>03</v>
      </c>
      <c r="D134" t="str">
        <f t="shared" si="8"/>
        <v>MARZO</v>
      </c>
      <c r="E134" s="2" t="s">
        <v>4</v>
      </c>
      <c r="F134" t="str">
        <f>_xlfn.XLOOKUP(E134,MAPEO!$B:$B,MAPEO!$C:$C,"",0)</f>
        <v>Calistenia</v>
      </c>
      <c r="G134" t="str">
        <f>_xlfn.XLOOKUP(E134,MAPEO!$B:$B,MAPEO!$D:$D,"",0)</f>
        <v>Martin</v>
      </c>
      <c r="H134">
        <v>39</v>
      </c>
    </row>
    <row r="135" spans="1:8" ht="15.75" customHeight="1">
      <c r="A135" s="19">
        <v>2</v>
      </c>
      <c r="B135" s="17">
        <v>45717</v>
      </c>
      <c r="C135" s="19" t="str">
        <f t="shared" si="7"/>
        <v>03</v>
      </c>
      <c r="D135" t="str">
        <f t="shared" si="8"/>
        <v>MARZO</v>
      </c>
      <c r="E135" s="3" t="s">
        <v>6</v>
      </c>
      <c r="F135" t="str">
        <f>_xlfn.XLOOKUP(E135,MAPEO!$B:$B,MAPEO!$C:$C,"",0)</f>
        <v>Calistenia</v>
      </c>
      <c r="G135" t="str">
        <f>_xlfn.XLOOKUP(E135,MAPEO!$B:$B,MAPEO!$D:$D,"",0)</f>
        <v>Agus</v>
      </c>
      <c r="H135">
        <v>22</v>
      </c>
    </row>
    <row r="136" spans="1:8" ht="15.75" customHeight="1">
      <c r="A136" s="19">
        <v>2</v>
      </c>
      <c r="B136" s="17">
        <v>45717</v>
      </c>
      <c r="C136" s="19" t="str">
        <f t="shared" si="7"/>
        <v>03</v>
      </c>
      <c r="D136" t="str">
        <f t="shared" si="8"/>
        <v>MARZO</v>
      </c>
      <c r="E136" s="4" t="s">
        <v>7</v>
      </c>
      <c r="F136" t="str">
        <f>_xlfn.XLOOKUP(E136,MAPEO!$B:$B,MAPEO!$C:$C,"",0)</f>
        <v>Calistenia</v>
      </c>
      <c r="G136" t="str">
        <f>_xlfn.XLOOKUP(E136,MAPEO!$B:$B,MAPEO!$D:$D,"",0)</f>
        <v>Lazaro</v>
      </c>
      <c r="H136">
        <v>15</v>
      </c>
    </row>
    <row r="137" spans="1:8" ht="15.75" customHeight="1">
      <c r="A137" s="19">
        <v>2</v>
      </c>
      <c r="B137" s="17">
        <v>45717</v>
      </c>
      <c r="C137" s="19" t="str">
        <f t="shared" si="7"/>
        <v>03</v>
      </c>
      <c r="D137" t="str">
        <f t="shared" si="8"/>
        <v>MARZO</v>
      </c>
      <c r="E137" s="4" t="s">
        <v>44</v>
      </c>
      <c r="F137" t="str">
        <f>_xlfn.XLOOKUP(E137,MAPEO!$B:$B,MAPEO!$C:$C,"",0)</f>
        <v>Calistenia</v>
      </c>
      <c r="G137" t="str">
        <f>_xlfn.XLOOKUP(E137,MAPEO!$B:$B,MAPEO!$D:$D,"",0)</f>
        <v>Paula</v>
      </c>
      <c r="H137">
        <v>7</v>
      </c>
    </row>
    <row r="138" spans="1:8" ht="15.75" customHeight="1">
      <c r="A138" s="19">
        <v>2</v>
      </c>
      <c r="B138" s="17">
        <v>45717</v>
      </c>
      <c r="C138" s="19" t="str">
        <f t="shared" si="7"/>
        <v>03</v>
      </c>
      <c r="D138" t="str">
        <f t="shared" si="8"/>
        <v>MARZO</v>
      </c>
      <c r="E138" s="5" t="s">
        <v>8</v>
      </c>
      <c r="F138" t="str">
        <f>_xlfn.XLOOKUP(E138,MAPEO!$B:$B,MAPEO!$C:$C,"",0)</f>
        <v>Boxeo</v>
      </c>
      <c r="G138" t="str">
        <f>_xlfn.XLOOKUP(E138,MAPEO!$B:$B,MAPEO!$D:$D,"",0)</f>
        <v>Mariano</v>
      </c>
      <c r="H138">
        <v>37</v>
      </c>
    </row>
    <row r="139" spans="1:8" ht="15.75" customHeight="1">
      <c r="A139" s="19">
        <v>2</v>
      </c>
      <c r="B139" s="17">
        <v>45717</v>
      </c>
      <c r="C139" s="19" t="str">
        <f t="shared" si="7"/>
        <v>03</v>
      </c>
      <c r="D139" t="str">
        <f t="shared" si="8"/>
        <v>MARZO</v>
      </c>
      <c r="E139" s="6" t="s">
        <v>9</v>
      </c>
      <c r="F139" t="str">
        <f>_xlfn.XLOOKUP(E139,MAPEO!$B:$B,MAPEO!$C:$C,"",0)</f>
        <v>Boxeo</v>
      </c>
      <c r="G139" t="str">
        <f>_xlfn.XLOOKUP(E139,MAPEO!$B:$B,MAPEO!$D:$D,"",0)</f>
        <v>tito</v>
      </c>
      <c r="H139">
        <v>24</v>
      </c>
    </row>
    <row r="140" spans="1:8" ht="15.75" customHeight="1">
      <c r="A140" s="19">
        <v>2</v>
      </c>
      <c r="B140" s="17">
        <v>45717</v>
      </c>
      <c r="C140" s="19" t="str">
        <f t="shared" si="7"/>
        <v>03</v>
      </c>
      <c r="D140" t="str">
        <f t="shared" si="8"/>
        <v>MARZO</v>
      </c>
      <c r="E140" s="1" t="s">
        <v>30</v>
      </c>
      <c r="F140" t="str">
        <f>_xlfn.XLOOKUP(E140,MAPEO!$B:$B,MAPEO!$C:$C,"",0)</f>
        <v>MMA+BOXEO</v>
      </c>
      <c r="G140" t="s">
        <v>56</v>
      </c>
      <c r="H140">
        <v>8</v>
      </c>
    </row>
    <row r="141" spans="1:8" ht="15.75" customHeight="1">
      <c r="A141" s="19">
        <v>2</v>
      </c>
      <c r="B141" s="17">
        <v>45717</v>
      </c>
      <c r="C141" s="19" t="str">
        <f t="shared" si="7"/>
        <v>03</v>
      </c>
      <c r="D141" t="str">
        <f t="shared" si="8"/>
        <v>MARZO</v>
      </c>
      <c r="E141" s="7" t="s">
        <v>11</v>
      </c>
      <c r="F141" t="str">
        <f>_xlfn.XLOOKUP(E141,MAPEO!$B:$B,MAPEO!$C:$C,"",0)</f>
        <v>Karate</v>
      </c>
      <c r="G141" t="s">
        <v>56</v>
      </c>
      <c r="H141">
        <v>2</v>
      </c>
    </row>
    <row r="142" spans="1:8" ht="15.75" customHeight="1">
      <c r="A142" s="19">
        <v>2</v>
      </c>
      <c r="B142" s="17">
        <v>45717</v>
      </c>
      <c r="C142" s="19" t="str">
        <f t="shared" si="7"/>
        <v>03</v>
      </c>
      <c r="D142" t="str">
        <f t="shared" si="8"/>
        <v>MARZO</v>
      </c>
      <c r="E142" s="3" t="s">
        <v>12</v>
      </c>
      <c r="F142" t="str">
        <f>_xlfn.XLOOKUP(E142,MAPEO!$B:$B,MAPEO!$C:$C,"",0)</f>
        <v>Tela</v>
      </c>
      <c r="G142" t="s">
        <v>56</v>
      </c>
      <c r="H142">
        <v>4</v>
      </c>
    </row>
    <row r="143" spans="1:8" ht="15.75" customHeight="1">
      <c r="A143" s="19">
        <v>2</v>
      </c>
      <c r="B143" s="17">
        <v>45717</v>
      </c>
      <c r="C143" s="19" t="str">
        <f t="shared" si="7"/>
        <v>03</v>
      </c>
      <c r="D143" t="str">
        <f t="shared" si="8"/>
        <v>MARZO</v>
      </c>
      <c r="E143" s="8" t="s">
        <v>13</v>
      </c>
      <c r="F143" t="str">
        <f>_xlfn.XLOOKUP(E143,MAPEO!$B:$B,MAPEO!$C:$C,"",0)</f>
        <v>Lyra</v>
      </c>
      <c r="G143" t="s">
        <v>56</v>
      </c>
      <c r="H143">
        <v>9</v>
      </c>
    </row>
    <row r="144" spans="1:8" ht="15.75" customHeight="1">
      <c r="A144" s="19">
        <v>2</v>
      </c>
      <c r="B144" s="17">
        <v>45717</v>
      </c>
      <c r="C144" s="19" t="str">
        <f t="shared" si="7"/>
        <v>03</v>
      </c>
      <c r="D144" t="str">
        <f t="shared" si="8"/>
        <v>MARZO</v>
      </c>
      <c r="E144" s="13" t="s">
        <v>14</v>
      </c>
      <c r="F144" t="str">
        <f>_xlfn.XLOOKUP(E144,MAPEO!$B:$B,MAPEO!$C:$C,"",0)</f>
        <v>Yoga y Yoga Columpio</v>
      </c>
      <c r="G144" t="s">
        <v>56</v>
      </c>
      <c r="H144">
        <v>3</v>
      </c>
    </row>
    <row r="145" spans="1:8" ht="15.75" customHeight="1">
      <c r="A145" s="19">
        <v>2</v>
      </c>
      <c r="B145" s="17">
        <v>45717</v>
      </c>
      <c r="C145" s="19" t="str">
        <f t="shared" si="7"/>
        <v>03</v>
      </c>
      <c r="D145" t="str">
        <f t="shared" si="8"/>
        <v>MARZO</v>
      </c>
      <c r="E145" s="25" t="s">
        <v>15</v>
      </c>
      <c r="F145" t="str">
        <f>_xlfn.XLOOKUP(E145,MAPEO!$B:$B,MAPEO!$C:$C,"",0)</f>
        <v>Pole Sport</v>
      </c>
      <c r="G145" t="s">
        <v>56</v>
      </c>
      <c r="H145">
        <v>29</v>
      </c>
    </row>
    <row r="146" spans="1:8" ht="15.75" customHeight="1">
      <c r="A146" s="19">
        <v>2</v>
      </c>
      <c r="B146" s="17">
        <v>45717</v>
      </c>
      <c r="C146" s="19" t="str">
        <f t="shared" si="7"/>
        <v>03</v>
      </c>
      <c r="D146" t="str">
        <f t="shared" si="8"/>
        <v>MARZO</v>
      </c>
      <c r="E146" s="10" t="s">
        <v>16</v>
      </c>
      <c r="F146" t="str">
        <f>_xlfn.XLOOKUP(E146,MAPEO!$B:$B,MAPEO!$C:$C,"",0)</f>
        <v>Acro Kids</v>
      </c>
      <c r="G146" t="s">
        <v>56</v>
      </c>
      <c r="H146">
        <v>10</v>
      </c>
    </row>
    <row r="147" spans="1:8" ht="15.75" customHeight="1">
      <c r="A147" s="19">
        <v>2</v>
      </c>
      <c r="B147" s="17">
        <v>45717</v>
      </c>
      <c r="C147" s="19" t="str">
        <f t="shared" si="7"/>
        <v>03</v>
      </c>
      <c r="D147" t="str">
        <f t="shared" si="8"/>
        <v>MARZO</v>
      </c>
      <c r="E147" s="3" t="s">
        <v>17</v>
      </c>
      <c r="F147" t="str">
        <f>_xlfn.XLOOKUP(E147,MAPEO!$B:$B,MAPEO!$C:$C,"",0)</f>
        <v>Calistenia</v>
      </c>
      <c r="G147" t="s">
        <v>56</v>
      </c>
      <c r="H147">
        <v>4</v>
      </c>
    </row>
    <row r="148" spans="1:8" ht="15.75" customHeight="1">
      <c r="A148" s="19">
        <v>2</v>
      </c>
      <c r="B148" s="17">
        <v>45717</v>
      </c>
      <c r="C148" s="19" t="str">
        <f t="shared" si="7"/>
        <v>03</v>
      </c>
      <c r="D148" t="str">
        <f t="shared" si="8"/>
        <v>MARZO</v>
      </c>
      <c r="E148" s="11" t="s">
        <v>18</v>
      </c>
      <c r="F148" t="str">
        <f>_xlfn.XLOOKUP(E148,MAPEO!$B:$B,MAPEO!$C:$C,"",0)</f>
        <v>Movimiento Consciente</v>
      </c>
      <c r="G148" t="s">
        <v>56</v>
      </c>
      <c r="H148">
        <v>2</v>
      </c>
    </row>
    <row r="149" spans="1:8" ht="15.75" customHeight="1">
      <c r="A149" s="19">
        <v>2</v>
      </c>
      <c r="B149" s="17">
        <v>45717</v>
      </c>
      <c r="C149" s="19" t="str">
        <f t="shared" si="7"/>
        <v>03</v>
      </c>
      <c r="D149" t="str">
        <f t="shared" si="8"/>
        <v>MARZO</v>
      </c>
      <c r="E149" s="5" t="s">
        <v>19</v>
      </c>
      <c r="F149" t="str">
        <f>_xlfn.XLOOKUP(E149,MAPEO!$B:$B,MAPEO!$C:$C,"",0)</f>
        <v>Cross Traning</v>
      </c>
      <c r="G149" t="s">
        <v>56</v>
      </c>
      <c r="H149">
        <v>4</v>
      </c>
    </row>
    <row r="150" spans="1:8" ht="15.75" customHeight="1">
      <c r="A150" s="19">
        <v>2</v>
      </c>
      <c r="B150" s="17">
        <v>45717</v>
      </c>
      <c r="C150" s="19" t="str">
        <f t="shared" si="7"/>
        <v>03</v>
      </c>
      <c r="D150" t="str">
        <f t="shared" si="8"/>
        <v>MARZO</v>
      </c>
      <c r="E150" s="12" t="s">
        <v>20</v>
      </c>
      <c r="F150" t="str">
        <f>_xlfn.XLOOKUP(E150,MAPEO!$B:$B,MAPEO!$C:$C,"",0)</f>
        <v>Funcional</v>
      </c>
      <c r="G150" t="s">
        <v>56</v>
      </c>
      <c r="H150">
        <v>120</v>
      </c>
    </row>
    <row r="151" spans="1:8" ht="15.75" customHeight="1">
      <c r="A151" s="19">
        <v>2</v>
      </c>
      <c r="B151" s="17">
        <v>45717</v>
      </c>
      <c r="C151" s="19" t="str">
        <f t="shared" si="7"/>
        <v>03</v>
      </c>
      <c r="D151" t="str">
        <f t="shared" si="8"/>
        <v>MARZO</v>
      </c>
      <c r="E151" s="13" t="s">
        <v>21</v>
      </c>
      <c r="F151" t="str">
        <f>_xlfn.XLOOKUP(E151,MAPEO!$B:$B,MAPEO!$C:$C,"",0)</f>
        <v>EFA</v>
      </c>
      <c r="G151" t="s">
        <v>56</v>
      </c>
      <c r="H151">
        <v>12</v>
      </c>
    </row>
    <row r="152" spans="1:8" ht="15.75" customHeight="1">
      <c r="A152" s="19">
        <v>2</v>
      </c>
      <c r="B152" s="17">
        <v>45717</v>
      </c>
      <c r="C152" s="19" t="str">
        <f t="shared" si="7"/>
        <v>03</v>
      </c>
      <c r="D152" t="str">
        <f t="shared" si="8"/>
        <v>MARZO</v>
      </c>
      <c r="E152" s="14" t="s">
        <v>23</v>
      </c>
      <c r="F152" t="str">
        <f>_xlfn.XLOOKUP(E152,MAPEO!$B:$B,MAPEO!$C:$C,"",0)</f>
        <v>Personalizados</v>
      </c>
      <c r="G152" t="str">
        <f>_xlfn.XLOOKUP(E152,MAPEO!$B:$B,MAPEO!$D:$D,"",0)</f>
        <v>Marco</v>
      </c>
      <c r="H152">
        <v>18</v>
      </c>
    </row>
    <row r="153" spans="1:8" ht="15.75" customHeight="1">
      <c r="A153" s="19">
        <v>2</v>
      </c>
      <c r="B153" s="17">
        <v>45717</v>
      </c>
      <c r="C153" s="19" t="str">
        <f t="shared" si="7"/>
        <v>03</v>
      </c>
      <c r="D153" t="str">
        <f t="shared" si="8"/>
        <v>MARZO</v>
      </c>
      <c r="E153" s="5" t="s">
        <v>24</v>
      </c>
      <c r="F153" t="str">
        <f>_xlfn.XLOOKUP(E153,MAPEO!$B:$B,MAPEO!$C:$C,"",0)</f>
        <v>Personalizados</v>
      </c>
      <c r="G153" t="str">
        <f>_xlfn.XLOOKUP(E153,MAPEO!$B:$B,MAPEO!$D:$D,"",0)</f>
        <v>Lean</v>
      </c>
      <c r="H153">
        <v>3</v>
      </c>
    </row>
    <row r="154" spans="1:8" ht="15.75" customHeight="1">
      <c r="A154" s="19">
        <v>2</v>
      </c>
      <c r="B154" s="17">
        <v>45748</v>
      </c>
      <c r="C154" s="19" t="str">
        <f t="shared" si="7"/>
        <v>04</v>
      </c>
      <c r="D154" t="str">
        <f t="shared" si="8"/>
        <v>ABRIL</v>
      </c>
      <c r="E154" s="1" t="s">
        <v>3</v>
      </c>
      <c r="F154" t="str">
        <f>_xlfn.XLOOKUP(E154,MAPEO!$B:$B,MAPEO!$C:$C,"",0)</f>
        <v>Calistenia</v>
      </c>
      <c r="G154" t="str">
        <f>_xlfn.XLOOKUP(E154,MAPEO!$B:$B,MAPEO!$D:$D,"",0)</f>
        <v>Edd</v>
      </c>
    </row>
    <row r="155" spans="1:8" ht="15.75" customHeight="1">
      <c r="A155" s="19">
        <f t="shared" ref="A155:A162" si="9">A154</f>
        <v>2</v>
      </c>
      <c r="B155" s="17">
        <v>45748</v>
      </c>
      <c r="C155" s="19" t="str">
        <f t="shared" si="7"/>
        <v>04</v>
      </c>
      <c r="D155" t="str">
        <f t="shared" si="8"/>
        <v>ABRIL</v>
      </c>
      <c r="E155" s="2" t="s">
        <v>4</v>
      </c>
      <c r="F155" t="str">
        <f>_xlfn.XLOOKUP(E155,MAPEO!$B:$B,MAPEO!$C:$C,"",0)</f>
        <v>Calistenia</v>
      </c>
      <c r="G155" t="str">
        <f>_xlfn.XLOOKUP(E155,MAPEO!$B:$B,MAPEO!$D:$D,"",0)</f>
        <v>Martin</v>
      </c>
    </row>
    <row r="156" spans="1:8" ht="15.75" customHeight="1">
      <c r="A156" s="19">
        <f t="shared" si="9"/>
        <v>2</v>
      </c>
      <c r="B156" s="17">
        <v>45748</v>
      </c>
      <c r="C156" s="19" t="str">
        <f t="shared" si="7"/>
        <v>04</v>
      </c>
      <c r="D156" t="str">
        <f t="shared" si="8"/>
        <v>ABRIL</v>
      </c>
      <c r="E156" s="3" t="s">
        <v>6</v>
      </c>
      <c r="F156" t="str">
        <f>_xlfn.XLOOKUP(E156,MAPEO!$B:$B,MAPEO!$C:$C,"",0)</f>
        <v>Calistenia</v>
      </c>
      <c r="G156" t="str">
        <f>_xlfn.XLOOKUP(E156,MAPEO!$B:$B,MAPEO!$D:$D,"",0)</f>
        <v>Agus</v>
      </c>
    </row>
    <row r="157" spans="1:8" ht="15.75" customHeight="1">
      <c r="A157" s="19">
        <f t="shared" si="9"/>
        <v>2</v>
      </c>
      <c r="B157" s="17">
        <v>45748</v>
      </c>
      <c r="C157" s="19" t="str">
        <f t="shared" si="7"/>
        <v>04</v>
      </c>
      <c r="D157" t="str">
        <f t="shared" si="8"/>
        <v>ABRIL</v>
      </c>
      <c r="E157" s="4" t="s">
        <v>7</v>
      </c>
      <c r="F157" t="str">
        <f>_xlfn.XLOOKUP(E157,MAPEO!$B:$B,MAPEO!$C:$C,"",0)</f>
        <v>Calistenia</v>
      </c>
      <c r="G157" t="str">
        <f>_xlfn.XLOOKUP(E157,MAPEO!$B:$B,MAPEO!$D:$D,"",0)</f>
        <v>Lazaro</v>
      </c>
    </row>
    <row r="158" spans="1:8" ht="15.75" customHeight="1">
      <c r="A158" s="19">
        <f t="shared" si="9"/>
        <v>2</v>
      </c>
      <c r="B158" s="17">
        <v>45748</v>
      </c>
      <c r="C158" s="19" t="str">
        <f t="shared" si="7"/>
        <v>04</v>
      </c>
      <c r="D158" t="str">
        <f t="shared" si="8"/>
        <v>ABRIL</v>
      </c>
      <c r="E158" s="4" t="s">
        <v>44</v>
      </c>
      <c r="F158" t="str">
        <f>_xlfn.XLOOKUP(E158,MAPEO!$B:$B,MAPEO!$C:$C,"",0)</f>
        <v>Calistenia</v>
      </c>
      <c r="G158" t="str">
        <f>_xlfn.XLOOKUP(E158,MAPEO!$B:$B,MAPEO!$D:$D,"",0)</f>
        <v>Paula</v>
      </c>
    </row>
    <row r="159" spans="1:8" ht="15.75" customHeight="1">
      <c r="A159" s="19">
        <f t="shared" si="9"/>
        <v>2</v>
      </c>
      <c r="B159" s="17">
        <v>45748</v>
      </c>
      <c r="C159" s="19" t="str">
        <f t="shared" si="7"/>
        <v>04</v>
      </c>
      <c r="D159" t="str">
        <f t="shared" si="8"/>
        <v>ABRIL</v>
      </c>
      <c r="E159" s="5" t="s">
        <v>8</v>
      </c>
      <c r="F159" t="str">
        <f>_xlfn.XLOOKUP(E159,MAPEO!$B:$B,MAPEO!$C:$C,"",0)</f>
        <v>Boxeo</v>
      </c>
      <c r="G159" t="str">
        <f>_xlfn.XLOOKUP(E159,MAPEO!$B:$B,MAPEO!$D:$D,"",0)</f>
        <v>Mariano</v>
      </c>
    </row>
    <row r="160" spans="1:8" ht="15.75" customHeight="1">
      <c r="A160" s="19">
        <f t="shared" si="9"/>
        <v>2</v>
      </c>
      <c r="B160" s="17">
        <v>45748</v>
      </c>
      <c r="C160" s="19" t="str">
        <f t="shared" si="7"/>
        <v>04</v>
      </c>
      <c r="D160" t="str">
        <f t="shared" si="8"/>
        <v>ABRIL</v>
      </c>
      <c r="E160" s="6" t="s">
        <v>9</v>
      </c>
      <c r="F160" t="str">
        <f>_xlfn.XLOOKUP(E160,MAPEO!$B:$B,MAPEO!$C:$C,"",0)</f>
        <v>Boxeo</v>
      </c>
      <c r="G160" t="str">
        <f>_xlfn.XLOOKUP(E160,MAPEO!$B:$B,MAPEO!$D:$D,"",0)</f>
        <v>tito</v>
      </c>
    </row>
    <row r="161" spans="1:7" ht="15.75" customHeight="1">
      <c r="A161" s="19">
        <f t="shared" si="9"/>
        <v>2</v>
      </c>
      <c r="B161" s="17">
        <v>45748</v>
      </c>
      <c r="C161" s="19" t="str">
        <f t="shared" si="7"/>
        <v>04</v>
      </c>
      <c r="D161" t="str">
        <f t="shared" si="8"/>
        <v>ABRIL</v>
      </c>
      <c r="E161" s="1" t="s">
        <v>10</v>
      </c>
      <c r="F161" t="str">
        <f>_xlfn.XLOOKUP(E161,MAPEO!$B:$B,MAPEO!$C:$C,"",0)</f>
        <v xml:space="preserve">MMA </v>
      </c>
      <c r="G161" t="s">
        <v>56</v>
      </c>
    </row>
    <row r="162" spans="1:7" ht="15.75" customHeight="1">
      <c r="A162" s="19">
        <f t="shared" si="9"/>
        <v>2</v>
      </c>
      <c r="B162" s="17">
        <v>45748</v>
      </c>
      <c r="C162" s="19" t="str">
        <f t="shared" si="7"/>
        <v>04</v>
      </c>
      <c r="D162" t="str">
        <f t="shared" si="8"/>
        <v>ABRIL</v>
      </c>
      <c r="E162" s="7" t="s">
        <v>11</v>
      </c>
      <c r="F162" t="str">
        <f>_xlfn.XLOOKUP(E162,MAPEO!$B:$B,MAPEO!$C:$C,"",0)</f>
        <v>Karate</v>
      </c>
      <c r="G162" t="s">
        <v>56</v>
      </c>
    </row>
    <row r="163" spans="1:7" ht="15.75" customHeight="1">
      <c r="A163" s="19">
        <v>2</v>
      </c>
      <c r="B163" s="17">
        <v>45748</v>
      </c>
      <c r="C163" s="19" t="str">
        <f t="shared" si="7"/>
        <v>04</v>
      </c>
      <c r="D163" t="str">
        <f t="shared" si="8"/>
        <v>ABRIL</v>
      </c>
      <c r="E163" s="15" t="s">
        <v>29</v>
      </c>
      <c r="F163" t="str">
        <f>_xlfn.XLOOKUP(E163,MAPEO!$B:$B,MAPEO!$C:$C,"",0)</f>
        <v>JIU JITSU</v>
      </c>
      <c r="G163" s="18" t="s">
        <v>56</v>
      </c>
    </row>
    <row r="164" spans="1:7" ht="15.75" customHeight="1">
      <c r="A164" s="19">
        <f t="shared" ref="A164:A176" si="10">A163</f>
        <v>2</v>
      </c>
      <c r="B164" s="17">
        <v>45748</v>
      </c>
      <c r="C164" s="19" t="str">
        <f t="shared" si="7"/>
        <v>04</v>
      </c>
      <c r="D164" t="str">
        <f t="shared" si="8"/>
        <v>ABRIL</v>
      </c>
      <c r="E164" s="3" t="s">
        <v>12</v>
      </c>
      <c r="F164" t="str">
        <f>_xlfn.XLOOKUP(E164,MAPEO!$B:$B,MAPEO!$C:$C,"",0)</f>
        <v>Tela</v>
      </c>
      <c r="G164" t="s">
        <v>56</v>
      </c>
    </row>
    <row r="165" spans="1:7" ht="15.75" customHeight="1">
      <c r="A165" s="19">
        <f t="shared" si="10"/>
        <v>2</v>
      </c>
      <c r="B165" s="17">
        <v>45748</v>
      </c>
      <c r="C165" s="19" t="str">
        <f t="shared" si="7"/>
        <v>04</v>
      </c>
      <c r="D165" t="str">
        <f t="shared" si="8"/>
        <v>ABRIL</v>
      </c>
      <c r="E165" s="8" t="s">
        <v>13</v>
      </c>
      <c r="F165" t="str">
        <f>_xlfn.XLOOKUP(E165,MAPEO!$B:$B,MAPEO!$C:$C,"",0)</f>
        <v>Lyra</v>
      </c>
      <c r="G165" t="s">
        <v>56</v>
      </c>
    </row>
    <row r="166" spans="1:7" ht="15.75" customHeight="1">
      <c r="A166" s="19">
        <f t="shared" si="10"/>
        <v>2</v>
      </c>
      <c r="B166" s="17">
        <v>45748</v>
      </c>
      <c r="C166" s="19" t="str">
        <f t="shared" si="7"/>
        <v>04</v>
      </c>
      <c r="D166" t="str">
        <f t="shared" si="8"/>
        <v>ABRIL</v>
      </c>
      <c r="E166" s="9" t="s">
        <v>14</v>
      </c>
      <c r="F166" t="str">
        <f>_xlfn.XLOOKUP(E166,MAPEO!$B:$B,MAPEO!$C:$C,"",0)</f>
        <v>Yoga y Yoga Columpio</v>
      </c>
      <c r="G166" t="s">
        <v>56</v>
      </c>
    </row>
    <row r="167" spans="1:7" ht="15.75" customHeight="1">
      <c r="A167" s="19">
        <f t="shared" si="10"/>
        <v>2</v>
      </c>
      <c r="B167" s="17">
        <v>45748</v>
      </c>
      <c r="C167" s="19" t="str">
        <f t="shared" si="7"/>
        <v>04</v>
      </c>
      <c r="D167" t="str">
        <f t="shared" si="8"/>
        <v>ABRIL</v>
      </c>
      <c r="E167" s="5" t="s">
        <v>15</v>
      </c>
      <c r="F167" t="str">
        <f>_xlfn.XLOOKUP(E167,MAPEO!$B:$B,MAPEO!$C:$C,"",0)</f>
        <v>Pole Sport</v>
      </c>
      <c r="G167" t="s">
        <v>56</v>
      </c>
    </row>
    <row r="168" spans="1:7" ht="15.75" customHeight="1">
      <c r="A168" s="19">
        <f t="shared" si="10"/>
        <v>2</v>
      </c>
      <c r="B168" s="17">
        <v>45748</v>
      </c>
      <c r="C168" s="19" t="str">
        <f t="shared" si="7"/>
        <v>04</v>
      </c>
      <c r="D168" t="str">
        <f t="shared" si="8"/>
        <v>ABRIL</v>
      </c>
      <c r="E168" s="10" t="s">
        <v>16</v>
      </c>
      <c r="F168" t="str">
        <f>_xlfn.XLOOKUP(E168,MAPEO!$B:$B,MAPEO!$C:$C,"",0)</f>
        <v>Acro Kids</v>
      </c>
      <c r="G168" t="s">
        <v>56</v>
      </c>
    </row>
    <row r="169" spans="1:7" ht="15.75" customHeight="1">
      <c r="A169" s="19">
        <f t="shared" si="10"/>
        <v>2</v>
      </c>
      <c r="B169" s="17">
        <v>45748</v>
      </c>
      <c r="C169" s="19" t="str">
        <f t="shared" si="7"/>
        <v>04</v>
      </c>
      <c r="D169" t="str">
        <f t="shared" si="8"/>
        <v>ABRIL</v>
      </c>
      <c r="E169" s="3" t="s">
        <v>17</v>
      </c>
      <c r="F169" t="str">
        <f>_xlfn.XLOOKUP(E169,MAPEO!$B:$B,MAPEO!$C:$C,"",0)</f>
        <v>Calistenia</v>
      </c>
      <c r="G169" t="s">
        <v>56</v>
      </c>
    </row>
    <row r="170" spans="1:7" ht="15.75" customHeight="1">
      <c r="A170" s="19">
        <f t="shared" si="10"/>
        <v>2</v>
      </c>
      <c r="B170" s="17">
        <v>45748</v>
      </c>
      <c r="C170" s="19" t="str">
        <f t="shared" si="7"/>
        <v>04</v>
      </c>
      <c r="D170" t="str">
        <f t="shared" si="8"/>
        <v>ABRIL</v>
      </c>
      <c r="E170" s="11" t="s">
        <v>18</v>
      </c>
      <c r="F170" t="str">
        <f>_xlfn.XLOOKUP(E170,MAPEO!$B:$B,MAPEO!$C:$C,"",0)</f>
        <v>Movimiento Consciente</v>
      </c>
      <c r="G170" t="s">
        <v>56</v>
      </c>
    </row>
    <row r="171" spans="1:7" ht="15.75" customHeight="1">
      <c r="A171" s="19">
        <f t="shared" si="10"/>
        <v>2</v>
      </c>
      <c r="B171" s="17">
        <v>45748</v>
      </c>
      <c r="C171" s="19" t="str">
        <f t="shared" si="7"/>
        <v>04</v>
      </c>
      <c r="D171" t="str">
        <f t="shared" si="8"/>
        <v>ABRIL</v>
      </c>
      <c r="E171" s="5" t="s">
        <v>19</v>
      </c>
      <c r="F171" t="str">
        <f>_xlfn.XLOOKUP(E171,MAPEO!$B:$B,MAPEO!$C:$C,"",0)</f>
        <v>Cross Traning</v>
      </c>
      <c r="G171" t="s">
        <v>56</v>
      </c>
    </row>
    <row r="172" spans="1:7" ht="15.75" customHeight="1">
      <c r="A172" s="19">
        <f t="shared" si="10"/>
        <v>2</v>
      </c>
      <c r="B172" s="17">
        <v>45748</v>
      </c>
      <c r="C172" s="19" t="str">
        <f t="shared" si="7"/>
        <v>04</v>
      </c>
      <c r="D172" t="str">
        <f t="shared" si="8"/>
        <v>ABRIL</v>
      </c>
      <c r="E172" s="12" t="s">
        <v>20</v>
      </c>
      <c r="F172" t="str">
        <f>_xlfn.XLOOKUP(E172,MAPEO!$B:$B,MAPEO!$C:$C,"",0)</f>
        <v>Funcional</v>
      </c>
      <c r="G172" t="s">
        <v>56</v>
      </c>
    </row>
    <row r="173" spans="1:7" ht="15.75" customHeight="1">
      <c r="A173" s="19">
        <f t="shared" si="10"/>
        <v>2</v>
      </c>
      <c r="B173" s="17">
        <v>45748</v>
      </c>
      <c r="C173" s="19" t="str">
        <f t="shared" si="7"/>
        <v>04</v>
      </c>
      <c r="D173" t="str">
        <f t="shared" si="8"/>
        <v>ABRIL</v>
      </c>
      <c r="E173" s="13" t="s">
        <v>21</v>
      </c>
      <c r="F173" t="str">
        <f>_xlfn.XLOOKUP(E173,MAPEO!$B:$B,MAPEO!$C:$C,"",0)</f>
        <v>EFA</v>
      </c>
      <c r="G173" t="s">
        <v>56</v>
      </c>
    </row>
    <row r="174" spans="1:7" ht="15.75" customHeight="1">
      <c r="A174" s="19">
        <f t="shared" si="10"/>
        <v>2</v>
      </c>
      <c r="B174" s="17">
        <v>45748</v>
      </c>
      <c r="C174" s="19" t="str">
        <f t="shared" si="7"/>
        <v>04</v>
      </c>
      <c r="D174" t="str">
        <f t="shared" si="8"/>
        <v>ABRIL</v>
      </c>
      <c r="E174" s="14" t="s">
        <v>23</v>
      </c>
      <c r="F174" t="str">
        <f>_xlfn.XLOOKUP(E174,MAPEO!$B:$B,MAPEO!$C:$C,"",0)</f>
        <v>Personalizados</v>
      </c>
      <c r="G174" t="str">
        <f>_xlfn.XLOOKUP(E174,MAPEO!$B:$B,MAPEO!$D:$D,"",0)</f>
        <v>Marco</v>
      </c>
    </row>
    <row r="175" spans="1:7" ht="15.75" customHeight="1">
      <c r="A175" s="19">
        <f t="shared" si="10"/>
        <v>2</v>
      </c>
      <c r="B175" s="17">
        <v>45748</v>
      </c>
      <c r="C175" s="19" t="str">
        <f t="shared" si="7"/>
        <v>04</v>
      </c>
      <c r="D175" t="str">
        <f t="shared" si="8"/>
        <v>ABRIL</v>
      </c>
      <c r="E175" s="5" t="s">
        <v>24</v>
      </c>
      <c r="F175" t="str">
        <f>_xlfn.XLOOKUP(E175,MAPEO!$B:$B,MAPEO!$C:$C,"",0)</f>
        <v>Personalizados</v>
      </c>
      <c r="G175" t="str">
        <f>_xlfn.XLOOKUP(E175,MAPEO!$B:$B,MAPEO!$D:$D,"",0)</f>
        <v>Lean</v>
      </c>
    </row>
    <row r="176" spans="1:7" ht="15.75" customHeight="1">
      <c r="A176" s="19">
        <f t="shared" si="10"/>
        <v>2</v>
      </c>
      <c r="B176" s="17">
        <v>45748</v>
      </c>
      <c r="C176" s="19" t="str">
        <f t="shared" si="7"/>
        <v>04</v>
      </c>
      <c r="D176" t="str">
        <f t="shared" si="8"/>
        <v>ABRIL</v>
      </c>
      <c r="E176" s="12" t="s">
        <v>25</v>
      </c>
      <c r="F176" t="str">
        <f>_xlfn.XLOOKUP(E176,MAPEO!$B:$B,MAPEO!$C:$C,"",0)</f>
        <v>Nutricion</v>
      </c>
      <c r="G176" t="s">
        <v>56</v>
      </c>
    </row>
    <row r="177" spans="1:7" ht="15.75" customHeight="1">
      <c r="A177" s="19">
        <v>2</v>
      </c>
      <c r="B177" s="17">
        <v>45778</v>
      </c>
      <c r="C177" s="19" t="str">
        <f t="shared" si="7"/>
        <v>05</v>
      </c>
      <c r="D177" t="str">
        <f t="shared" si="8"/>
        <v>MAYO</v>
      </c>
      <c r="E177" s="1" t="s">
        <v>3</v>
      </c>
      <c r="F177" t="str">
        <f>_xlfn.XLOOKUP(E177,MAPEO!$B:$B,MAPEO!$C:$C,"",0)</f>
        <v>Calistenia</v>
      </c>
      <c r="G177" t="str">
        <f>_xlfn.XLOOKUP(E177,MAPEO!$B:$B,MAPEO!$D:$D,"",0)</f>
        <v>Edd</v>
      </c>
    </row>
    <row r="178" spans="1:7" ht="15.75" customHeight="1">
      <c r="A178" s="19">
        <f t="shared" ref="A178:A195" si="11">A177</f>
        <v>2</v>
      </c>
      <c r="B178" s="17">
        <v>45778</v>
      </c>
      <c r="C178" s="19" t="str">
        <f t="shared" si="7"/>
        <v>05</v>
      </c>
      <c r="D178" t="str">
        <f t="shared" si="8"/>
        <v>MAYO</v>
      </c>
      <c r="E178" s="2" t="s">
        <v>4</v>
      </c>
      <c r="F178" t="str">
        <f>_xlfn.XLOOKUP(E178,MAPEO!$B:$B,MAPEO!$C:$C,"",0)</f>
        <v>Calistenia</v>
      </c>
      <c r="G178" t="str">
        <f>_xlfn.XLOOKUP(E178,MAPEO!$B:$B,MAPEO!$D:$D,"",0)</f>
        <v>Martin</v>
      </c>
    </row>
    <row r="179" spans="1:7" ht="15.75" customHeight="1">
      <c r="A179" s="19">
        <f t="shared" si="11"/>
        <v>2</v>
      </c>
      <c r="B179" s="17">
        <v>45778</v>
      </c>
      <c r="C179" s="19" t="str">
        <f t="shared" si="7"/>
        <v>05</v>
      </c>
      <c r="D179" t="str">
        <f t="shared" si="8"/>
        <v>MAYO</v>
      </c>
      <c r="E179" s="3" t="s">
        <v>6</v>
      </c>
      <c r="F179" t="str">
        <f>_xlfn.XLOOKUP(E179,MAPEO!$B:$B,MAPEO!$C:$C,"",0)</f>
        <v>Calistenia</v>
      </c>
      <c r="G179" t="str">
        <f>_xlfn.XLOOKUP(E179,MAPEO!$B:$B,MAPEO!$D:$D,"",0)</f>
        <v>Agus</v>
      </c>
    </row>
    <row r="180" spans="1:7" ht="15.75" customHeight="1">
      <c r="A180" s="19">
        <f t="shared" si="11"/>
        <v>2</v>
      </c>
      <c r="B180" s="17">
        <v>45778</v>
      </c>
      <c r="C180" s="19" t="str">
        <f t="shared" si="7"/>
        <v>05</v>
      </c>
      <c r="D180" t="str">
        <f t="shared" si="8"/>
        <v>MAYO</v>
      </c>
      <c r="E180" s="4" t="s">
        <v>7</v>
      </c>
      <c r="F180" t="str">
        <f>_xlfn.XLOOKUP(E180,MAPEO!$B:$B,MAPEO!$C:$C,"",0)</f>
        <v>Calistenia</v>
      </c>
      <c r="G180" t="str">
        <f>_xlfn.XLOOKUP(E180,MAPEO!$B:$B,MAPEO!$D:$D,"",0)</f>
        <v>Lazaro</v>
      </c>
    </row>
    <row r="181" spans="1:7" ht="15.75" customHeight="1">
      <c r="A181" s="19">
        <f t="shared" si="11"/>
        <v>2</v>
      </c>
      <c r="B181" s="17">
        <v>45778</v>
      </c>
      <c r="C181" s="19" t="str">
        <f t="shared" si="7"/>
        <v>05</v>
      </c>
      <c r="D181" t="str">
        <f t="shared" si="8"/>
        <v>MAYO</v>
      </c>
      <c r="E181" s="4" t="s">
        <v>44</v>
      </c>
      <c r="F181" t="str">
        <f>_xlfn.XLOOKUP(E181,MAPEO!$B:$B,MAPEO!$C:$C,"",0)</f>
        <v>Calistenia</v>
      </c>
      <c r="G181" t="str">
        <f>_xlfn.XLOOKUP(E181,MAPEO!$B:$B,MAPEO!$D:$D,"",0)</f>
        <v>Paula</v>
      </c>
    </row>
    <row r="182" spans="1:7" ht="15.75" customHeight="1">
      <c r="A182" s="19">
        <f t="shared" si="11"/>
        <v>2</v>
      </c>
      <c r="B182" s="17">
        <v>45778</v>
      </c>
      <c r="C182" s="19" t="str">
        <f t="shared" si="7"/>
        <v>05</v>
      </c>
      <c r="D182" t="str">
        <f t="shared" si="8"/>
        <v>MAYO</v>
      </c>
      <c r="E182" s="5" t="s">
        <v>8</v>
      </c>
      <c r="F182" t="str">
        <f>_xlfn.XLOOKUP(E182,MAPEO!$B:$B,MAPEO!$C:$C,"",0)</f>
        <v>Boxeo</v>
      </c>
      <c r="G182" t="str">
        <f>_xlfn.XLOOKUP(E182,MAPEO!$B:$B,MAPEO!$D:$D,"",0)</f>
        <v>Mariano</v>
      </c>
    </row>
    <row r="183" spans="1:7" ht="15.75" customHeight="1">
      <c r="A183" s="19">
        <f t="shared" si="11"/>
        <v>2</v>
      </c>
      <c r="B183" s="17">
        <v>45778</v>
      </c>
      <c r="C183" s="19" t="str">
        <f t="shared" si="7"/>
        <v>05</v>
      </c>
      <c r="D183" t="str">
        <f t="shared" si="8"/>
        <v>MAYO</v>
      </c>
      <c r="E183" s="6" t="s">
        <v>9</v>
      </c>
      <c r="F183" t="str">
        <f>_xlfn.XLOOKUP(E183,MAPEO!$B:$B,MAPEO!$C:$C,"",0)</f>
        <v>Boxeo</v>
      </c>
      <c r="G183" t="str">
        <f>_xlfn.XLOOKUP(E183,MAPEO!$B:$B,MAPEO!$D:$D,"",0)</f>
        <v>tito</v>
      </c>
    </row>
    <row r="184" spans="1:7" ht="15.75" customHeight="1">
      <c r="A184" s="19">
        <f t="shared" si="11"/>
        <v>2</v>
      </c>
      <c r="B184" s="17">
        <v>45778</v>
      </c>
      <c r="C184" s="19" t="str">
        <f t="shared" si="7"/>
        <v>05</v>
      </c>
      <c r="D184" t="str">
        <f t="shared" si="8"/>
        <v>MAYO</v>
      </c>
      <c r="E184" s="1" t="s">
        <v>10</v>
      </c>
      <c r="F184" t="str">
        <f>_xlfn.XLOOKUP(E184,MAPEO!$B:$B,MAPEO!$C:$C,"",0)</f>
        <v xml:space="preserve">MMA </v>
      </c>
      <c r="G184" t="s">
        <v>56</v>
      </c>
    </row>
    <row r="185" spans="1:7" ht="15.75" customHeight="1">
      <c r="A185" s="19">
        <f t="shared" si="11"/>
        <v>2</v>
      </c>
      <c r="B185" s="17">
        <v>45778</v>
      </c>
      <c r="C185" s="19" t="str">
        <f t="shared" si="7"/>
        <v>05</v>
      </c>
      <c r="D185" t="str">
        <f t="shared" si="8"/>
        <v>MAYO</v>
      </c>
      <c r="E185" s="7" t="s">
        <v>11</v>
      </c>
      <c r="F185" t="str">
        <f>_xlfn.XLOOKUP(E185,MAPEO!$B:$B,MAPEO!$C:$C,"",0)</f>
        <v>Karate</v>
      </c>
      <c r="G185" t="s">
        <v>56</v>
      </c>
    </row>
    <row r="186" spans="1:7" ht="15.75" customHeight="1">
      <c r="A186" s="19">
        <f t="shared" si="11"/>
        <v>2</v>
      </c>
      <c r="B186" s="17">
        <v>45778</v>
      </c>
      <c r="C186" s="19" t="str">
        <f t="shared" si="7"/>
        <v>05</v>
      </c>
      <c r="D186" t="str">
        <f t="shared" si="8"/>
        <v>MAYO</v>
      </c>
      <c r="E186" s="3" t="s">
        <v>12</v>
      </c>
      <c r="F186" t="str">
        <f>_xlfn.XLOOKUP(E186,MAPEO!$B:$B,MAPEO!$C:$C,"",0)</f>
        <v>Tela</v>
      </c>
      <c r="G186" t="s">
        <v>56</v>
      </c>
    </row>
    <row r="187" spans="1:7" ht="15.75" customHeight="1">
      <c r="A187" s="19">
        <f t="shared" si="11"/>
        <v>2</v>
      </c>
      <c r="B187" s="17">
        <v>45778</v>
      </c>
      <c r="C187" s="19" t="str">
        <f t="shared" si="7"/>
        <v>05</v>
      </c>
      <c r="D187" t="str">
        <f t="shared" si="8"/>
        <v>MAYO</v>
      </c>
      <c r="E187" s="8" t="s">
        <v>13</v>
      </c>
      <c r="F187" t="str">
        <f>_xlfn.XLOOKUP(E187,MAPEO!$B:$B,MAPEO!$C:$C,"",0)</f>
        <v>Lyra</v>
      </c>
      <c r="G187" t="s">
        <v>56</v>
      </c>
    </row>
    <row r="188" spans="1:7" ht="15.75" customHeight="1">
      <c r="A188" s="19">
        <f t="shared" si="11"/>
        <v>2</v>
      </c>
      <c r="B188" s="17">
        <v>45778</v>
      </c>
      <c r="C188" s="19" t="str">
        <f t="shared" si="7"/>
        <v>05</v>
      </c>
      <c r="D188" t="str">
        <f t="shared" si="8"/>
        <v>MAYO</v>
      </c>
      <c r="E188" s="9" t="s">
        <v>14</v>
      </c>
      <c r="F188" t="str">
        <f>_xlfn.XLOOKUP(E188,MAPEO!$B:$B,MAPEO!$C:$C,"",0)</f>
        <v>Yoga y Yoga Columpio</v>
      </c>
      <c r="G188" t="s">
        <v>56</v>
      </c>
    </row>
    <row r="189" spans="1:7" ht="15.75" customHeight="1">
      <c r="A189" s="19">
        <f t="shared" si="11"/>
        <v>2</v>
      </c>
      <c r="B189" s="17">
        <v>45778</v>
      </c>
      <c r="C189" s="19" t="str">
        <f t="shared" si="7"/>
        <v>05</v>
      </c>
      <c r="D189" t="str">
        <f t="shared" si="8"/>
        <v>MAYO</v>
      </c>
      <c r="E189" s="5" t="s">
        <v>15</v>
      </c>
      <c r="F189" t="str">
        <f>_xlfn.XLOOKUP(E189,MAPEO!$B:$B,MAPEO!$C:$C,"",0)</f>
        <v>Pole Sport</v>
      </c>
      <c r="G189" t="s">
        <v>56</v>
      </c>
    </row>
    <row r="190" spans="1:7" ht="15.75" customHeight="1">
      <c r="A190" s="19">
        <f t="shared" si="11"/>
        <v>2</v>
      </c>
      <c r="B190" s="17">
        <v>45778</v>
      </c>
      <c r="C190" s="19" t="str">
        <f t="shared" si="7"/>
        <v>05</v>
      </c>
      <c r="D190" t="str">
        <f t="shared" si="8"/>
        <v>MAYO</v>
      </c>
      <c r="E190" s="10" t="s">
        <v>16</v>
      </c>
      <c r="F190" t="str">
        <f>_xlfn.XLOOKUP(E190,MAPEO!$B:$B,MAPEO!$C:$C,"",0)</f>
        <v>Acro Kids</v>
      </c>
      <c r="G190" t="s">
        <v>56</v>
      </c>
    </row>
    <row r="191" spans="1:7" ht="15.75" customHeight="1">
      <c r="A191" s="19">
        <f t="shared" si="11"/>
        <v>2</v>
      </c>
      <c r="B191" s="17">
        <v>45778</v>
      </c>
      <c r="C191" s="19" t="str">
        <f t="shared" si="7"/>
        <v>05</v>
      </c>
      <c r="D191" t="str">
        <f t="shared" si="8"/>
        <v>MAYO</v>
      </c>
      <c r="E191" s="3" t="s">
        <v>17</v>
      </c>
      <c r="F191" t="str">
        <f>_xlfn.XLOOKUP(E191,MAPEO!$B:$B,MAPEO!$C:$C,"",0)</f>
        <v>Calistenia</v>
      </c>
      <c r="G191" t="s">
        <v>56</v>
      </c>
    </row>
    <row r="192" spans="1:7" ht="15.75" customHeight="1">
      <c r="A192" s="19">
        <f t="shared" si="11"/>
        <v>2</v>
      </c>
      <c r="B192" s="17">
        <v>45778</v>
      </c>
      <c r="C192" s="19" t="str">
        <f t="shared" si="7"/>
        <v>05</v>
      </c>
      <c r="D192" t="str">
        <f t="shared" si="8"/>
        <v>MAYO</v>
      </c>
      <c r="E192" s="11" t="s">
        <v>18</v>
      </c>
      <c r="F192" t="str">
        <f>_xlfn.XLOOKUP(E192,MAPEO!$B:$B,MAPEO!$C:$C,"",0)</f>
        <v>Movimiento Consciente</v>
      </c>
      <c r="G192" t="s">
        <v>56</v>
      </c>
    </row>
    <row r="193" spans="1:7" ht="15.75" customHeight="1">
      <c r="A193" s="19">
        <f t="shared" si="11"/>
        <v>2</v>
      </c>
      <c r="B193" s="17">
        <v>45778</v>
      </c>
      <c r="C193" s="19" t="str">
        <f t="shared" si="7"/>
        <v>05</v>
      </c>
      <c r="D193" t="str">
        <f t="shared" si="8"/>
        <v>MAYO</v>
      </c>
      <c r="E193" s="5" t="s">
        <v>19</v>
      </c>
      <c r="F193" t="str">
        <f>_xlfn.XLOOKUP(E193,MAPEO!$B:$B,MAPEO!$C:$C,"",0)</f>
        <v>Cross Traning</v>
      </c>
      <c r="G193" t="s">
        <v>56</v>
      </c>
    </row>
    <row r="194" spans="1:7" ht="15.75" customHeight="1">
      <c r="A194" s="19">
        <f t="shared" si="11"/>
        <v>2</v>
      </c>
      <c r="B194" s="17">
        <v>45778</v>
      </c>
      <c r="C194" s="19" t="str">
        <f t="shared" ref="C194:C257" si="12">TEXT(B194,"mm")</f>
        <v>05</v>
      </c>
      <c r="D194" t="str">
        <f t="shared" ref="D194:D257" si="13">UPPER(TEXT(B194,"mmmm"))</f>
        <v>MAYO</v>
      </c>
      <c r="E194" s="12" t="s">
        <v>20</v>
      </c>
      <c r="F194" t="str">
        <f>_xlfn.XLOOKUP(E194,MAPEO!$B:$B,MAPEO!$C:$C,"",0)</f>
        <v>Funcional</v>
      </c>
      <c r="G194" t="s">
        <v>56</v>
      </c>
    </row>
    <row r="195" spans="1:7" ht="15.75" customHeight="1">
      <c r="A195" s="19">
        <f t="shared" si="11"/>
        <v>2</v>
      </c>
      <c r="B195" s="17">
        <v>45778</v>
      </c>
      <c r="C195" s="19" t="str">
        <f t="shared" si="12"/>
        <v>05</v>
      </c>
      <c r="D195" t="str">
        <f t="shared" si="13"/>
        <v>MAYO</v>
      </c>
      <c r="E195" s="13" t="s">
        <v>21</v>
      </c>
      <c r="F195" t="str">
        <f>_xlfn.XLOOKUP(E195,MAPEO!$B:$B,MAPEO!$C:$C,"",0)</f>
        <v>EFA</v>
      </c>
      <c r="G195" t="s">
        <v>56</v>
      </c>
    </row>
    <row r="196" spans="1:7" ht="15.75" customHeight="1">
      <c r="A196" s="19">
        <v>2</v>
      </c>
      <c r="B196" s="17">
        <v>45809</v>
      </c>
      <c r="C196" s="19" t="str">
        <f t="shared" si="12"/>
        <v>06</v>
      </c>
      <c r="D196" t="str">
        <f t="shared" si="13"/>
        <v>JUNIO</v>
      </c>
      <c r="E196" s="1" t="s">
        <v>3</v>
      </c>
      <c r="F196" t="str">
        <f>_xlfn.XLOOKUP(E196,MAPEO!$B:$B,MAPEO!$C:$C,"",0)</f>
        <v>Calistenia</v>
      </c>
      <c r="G196" t="str">
        <f>_xlfn.XLOOKUP(E196,MAPEO!$B:$B,MAPEO!$D:$D,"",0)</f>
        <v>Edd</v>
      </c>
    </row>
    <row r="197" spans="1:7" ht="15.75" customHeight="1">
      <c r="A197" s="19">
        <f t="shared" ref="A197:A218" si="14">A196</f>
        <v>2</v>
      </c>
      <c r="B197" s="17">
        <v>45809</v>
      </c>
      <c r="C197" s="19" t="str">
        <f t="shared" si="12"/>
        <v>06</v>
      </c>
      <c r="D197" t="str">
        <f t="shared" si="13"/>
        <v>JUNIO</v>
      </c>
      <c r="E197" s="2" t="s">
        <v>4</v>
      </c>
      <c r="F197" t="str">
        <f>_xlfn.XLOOKUP(E197,MAPEO!$B:$B,MAPEO!$C:$C,"",0)</f>
        <v>Calistenia</v>
      </c>
      <c r="G197" t="str">
        <f>_xlfn.XLOOKUP(E197,MAPEO!$B:$B,MAPEO!$D:$D,"",0)</f>
        <v>Martin</v>
      </c>
    </row>
    <row r="198" spans="1:7" ht="15.75" customHeight="1">
      <c r="A198" s="19">
        <f t="shared" si="14"/>
        <v>2</v>
      </c>
      <c r="B198" s="17">
        <v>45809</v>
      </c>
      <c r="C198" s="19" t="str">
        <f t="shared" si="12"/>
        <v>06</v>
      </c>
      <c r="D198" t="str">
        <f t="shared" si="13"/>
        <v>JUNIO</v>
      </c>
      <c r="E198" s="3" t="s">
        <v>6</v>
      </c>
      <c r="F198" t="str">
        <f>_xlfn.XLOOKUP(E198,MAPEO!$B:$B,MAPEO!$C:$C,"",0)</f>
        <v>Calistenia</v>
      </c>
      <c r="G198" t="str">
        <f>_xlfn.XLOOKUP(E198,MAPEO!$B:$B,MAPEO!$D:$D,"",0)</f>
        <v>Agus</v>
      </c>
    </row>
    <row r="199" spans="1:7" ht="15.75" customHeight="1">
      <c r="A199" s="19">
        <f t="shared" si="14"/>
        <v>2</v>
      </c>
      <c r="B199" s="17">
        <v>45809</v>
      </c>
      <c r="C199" s="19" t="str">
        <f t="shared" si="12"/>
        <v>06</v>
      </c>
      <c r="D199" t="str">
        <f t="shared" si="13"/>
        <v>JUNIO</v>
      </c>
      <c r="E199" s="4" t="s">
        <v>7</v>
      </c>
      <c r="F199" t="str">
        <f>_xlfn.XLOOKUP(E199,MAPEO!$B:$B,MAPEO!$C:$C,"",0)</f>
        <v>Calistenia</v>
      </c>
      <c r="G199" t="str">
        <f>_xlfn.XLOOKUP(E199,MAPEO!$B:$B,MAPEO!$D:$D,"",0)</f>
        <v>Lazaro</v>
      </c>
    </row>
    <row r="200" spans="1:7" ht="15.75" customHeight="1">
      <c r="A200" s="19">
        <f t="shared" si="14"/>
        <v>2</v>
      </c>
      <c r="B200" s="17">
        <v>45809</v>
      </c>
      <c r="C200" s="19" t="str">
        <f t="shared" si="12"/>
        <v>06</v>
      </c>
      <c r="D200" t="str">
        <f t="shared" si="13"/>
        <v>JUNIO</v>
      </c>
      <c r="E200" s="4" t="s">
        <v>44</v>
      </c>
      <c r="F200" t="str">
        <f>_xlfn.XLOOKUP(E200,MAPEO!$B:$B,MAPEO!$C:$C,"",0)</f>
        <v>Calistenia</v>
      </c>
      <c r="G200" t="str">
        <f>_xlfn.XLOOKUP(E200,MAPEO!$B:$B,MAPEO!$D:$D,"",0)</f>
        <v>Paula</v>
      </c>
    </row>
    <row r="201" spans="1:7" ht="15.75" customHeight="1">
      <c r="A201" s="19">
        <f t="shared" si="14"/>
        <v>2</v>
      </c>
      <c r="B201" s="17">
        <v>45809</v>
      </c>
      <c r="C201" s="19" t="str">
        <f t="shared" si="12"/>
        <v>06</v>
      </c>
      <c r="D201" t="str">
        <f t="shared" si="13"/>
        <v>JUNIO</v>
      </c>
      <c r="E201" s="5" t="s">
        <v>8</v>
      </c>
      <c r="F201" t="str">
        <f>_xlfn.XLOOKUP(E201,MAPEO!$B:$B,MAPEO!$C:$C,"",0)</f>
        <v>Boxeo</v>
      </c>
      <c r="G201" t="str">
        <f>_xlfn.XLOOKUP(E201,MAPEO!$B:$B,MAPEO!$D:$D,"",0)</f>
        <v>Mariano</v>
      </c>
    </row>
    <row r="202" spans="1:7" ht="15.75" customHeight="1">
      <c r="A202" s="19">
        <f t="shared" si="14"/>
        <v>2</v>
      </c>
      <c r="B202" s="17">
        <v>45809</v>
      </c>
      <c r="C202" s="19" t="str">
        <f t="shared" si="12"/>
        <v>06</v>
      </c>
      <c r="D202" t="str">
        <f t="shared" si="13"/>
        <v>JUNIO</v>
      </c>
      <c r="E202" s="6" t="s">
        <v>9</v>
      </c>
      <c r="F202" t="str">
        <f>_xlfn.XLOOKUP(E202,MAPEO!$B:$B,MAPEO!$C:$C,"",0)</f>
        <v>Boxeo</v>
      </c>
      <c r="G202" t="str">
        <f>_xlfn.XLOOKUP(E202,MAPEO!$B:$B,MAPEO!$D:$D,"",0)</f>
        <v>tito</v>
      </c>
    </row>
    <row r="203" spans="1:7" ht="15.75" customHeight="1">
      <c r="A203" s="19">
        <f t="shared" si="14"/>
        <v>2</v>
      </c>
      <c r="B203" s="17">
        <v>45809</v>
      </c>
      <c r="C203" s="19" t="str">
        <f t="shared" si="12"/>
        <v>06</v>
      </c>
      <c r="D203" t="str">
        <f t="shared" si="13"/>
        <v>JUNIO</v>
      </c>
      <c r="E203" s="1" t="s">
        <v>10</v>
      </c>
      <c r="F203" t="str">
        <f>_xlfn.XLOOKUP(E203,MAPEO!$B:$B,MAPEO!$C:$C,"",0)</f>
        <v xml:space="preserve">MMA </v>
      </c>
      <c r="G203" t="s">
        <v>56</v>
      </c>
    </row>
    <row r="204" spans="1:7" ht="15.75" customHeight="1">
      <c r="A204" s="19">
        <f t="shared" si="14"/>
        <v>2</v>
      </c>
      <c r="B204" s="17">
        <v>45809</v>
      </c>
      <c r="C204" s="19" t="str">
        <f t="shared" si="12"/>
        <v>06</v>
      </c>
      <c r="D204" t="str">
        <f t="shared" si="13"/>
        <v>JUNIO</v>
      </c>
      <c r="E204" s="7" t="s">
        <v>11</v>
      </c>
      <c r="F204" t="str">
        <f>_xlfn.XLOOKUP(E204,MAPEO!$B:$B,MAPEO!$C:$C,"",0)</f>
        <v>Karate</v>
      </c>
      <c r="G204" t="s">
        <v>56</v>
      </c>
    </row>
    <row r="205" spans="1:7" ht="15.75" customHeight="1">
      <c r="A205" s="19">
        <f t="shared" si="14"/>
        <v>2</v>
      </c>
      <c r="B205" s="17">
        <v>45809</v>
      </c>
      <c r="C205" s="19" t="str">
        <f t="shared" si="12"/>
        <v>06</v>
      </c>
      <c r="D205" t="str">
        <f t="shared" si="13"/>
        <v>JUNIO</v>
      </c>
      <c r="E205" s="12" t="s">
        <v>22</v>
      </c>
      <c r="F205" t="str">
        <f>_xlfn.XLOOKUP(E205,MAPEO!$B:$B,MAPEO!$C:$C,"",0)</f>
        <v>Taekwondo</v>
      </c>
      <c r="G205" t="s">
        <v>56</v>
      </c>
    </row>
    <row r="206" spans="1:7" ht="15.75" customHeight="1">
      <c r="A206" s="19">
        <f t="shared" si="14"/>
        <v>2</v>
      </c>
      <c r="B206" s="17">
        <v>45809</v>
      </c>
      <c r="C206" s="19" t="str">
        <f t="shared" si="12"/>
        <v>06</v>
      </c>
      <c r="D206" t="str">
        <f t="shared" si="13"/>
        <v>JUNIO</v>
      </c>
      <c r="E206" s="3" t="s">
        <v>12</v>
      </c>
      <c r="F206" t="str">
        <f>_xlfn.XLOOKUP(E206,MAPEO!$B:$B,MAPEO!$C:$C,"",0)</f>
        <v>Tela</v>
      </c>
      <c r="G206" t="s">
        <v>56</v>
      </c>
    </row>
    <row r="207" spans="1:7" ht="15.75" customHeight="1">
      <c r="A207" s="19">
        <f t="shared" si="14"/>
        <v>2</v>
      </c>
      <c r="B207" s="17">
        <v>45809</v>
      </c>
      <c r="C207" s="19" t="str">
        <f t="shared" si="12"/>
        <v>06</v>
      </c>
      <c r="D207" t="str">
        <f t="shared" si="13"/>
        <v>JUNIO</v>
      </c>
      <c r="E207" s="8" t="s">
        <v>13</v>
      </c>
      <c r="F207" t="str">
        <f>_xlfn.XLOOKUP(E207,MAPEO!$B:$B,MAPEO!$C:$C,"",0)</f>
        <v>Lyra</v>
      </c>
      <c r="G207" t="s">
        <v>56</v>
      </c>
    </row>
    <row r="208" spans="1:7" ht="15.75" customHeight="1">
      <c r="A208" s="19">
        <f t="shared" si="14"/>
        <v>2</v>
      </c>
      <c r="B208" s="17">
        <v>45809</v>
      </c>
      <c r="C208" s="19" t="str">
        <f t="shared" si="12"/>
        <v>06</v>
      </c>
      <c r="D208" t="str">
        <f t="shared" si="13"/>
        <v>JUNIO</v>
      </c>
      <c r="E208" s="13" t="s">
        <v>14</v>
      </c>
      <c r="F208" t="str">
        <f>_xlfn.XLOOKUP(E208,MAPEO!$B:$B,MAPEO!$C:$C,"",0)</f>
        <v>Yoga y Yoga Columpio</v>
      </c>
      <c r="G208" t="s">
        <v>56</v>
      </c>
    </row>
    <row r="209" spans="1:8" ht="15.75" customHeight="1">
      <c r="A209" s="19">
        <f t="shared" si="14"/>
        <v>2</v>
      </c>
      <c r="B209" s="17">
        <v>45809</v>
      </c>
      <c r="C209" s="19" t="str">
        <f t="shared" si="12"/>
        <v>06</v>
      </c>
      <c r="D209" t="str">
        <f t="shared" si="13"/>
        <v>JUNIO</v>
      </c>
      <c r="E209" s="5" t="s">
        <v>15</v>
      </c>
      <c r="F209" t="str">
        <f>_xlfn.XLOOKUP(E209,MAPEO!$B:$B,MAPEO!$C:$C,"",0)</f>
        <v>Pole Sport</v>
      </c>
      <c r="G209" t="s">
        <v>56</v>
      </c>
    </row>
    <row r="210" spans="1:8" ht="15.75" customHeight="1">
      <c r="A210" s="19">
        <f t="shared" si="14"/>
        <v>2</v>
      </c>
      <c r="B210" s="17">
        <v>45809</v>
      </c>
      <c r="C210" s="19" t="str">
        <f t="shared" si="12"/>
        <v>06</v>
      </c>
      <c r="D210" t="str">
        <f t="shared" si="13"/>
        <v>JUNIO</v>
      </c>
      <c r="E210" s="10" t="s">
        <v>16</v>
      </c>
      <c r="F210" t="str">
        <f>_xlfn.XLOOKUP(E210,MAPEO!$B:$B,MAPEO!$C:$C,"",0)</f>
        <v>Acro Kids</v>
      </c>
      <c r="G210" t="s">
        <v>56</v>
      </c>
    </row>
    <row r="211" spans="1:8" ht="15.75" customHeight="1">
      <c r="A211" s="19">
        <f t="shared" si="14"/>
        <v>2</v>
      </c>
      <c r="B211" s="17">
        <v>45809</v>
      </c>
      <c r="C211" s="19" t="str">
        <f t="shared" si="12"/>
        <v>06</v>
      </c>
      <c r="D211" t="str">
        <f t="shared" si="13"/>
        <v>JUNIO</v>
      </c>
      <c r="E211" s="21" t="s">
        <v>17</v>
      </c>
      <c r="F211" t="str">
        <f>_xlfn.XLOOKUP(E211,MAPEO!$B:$B,MAPEO!$C:$C,"",0)</f>
        <v>Calistenia</v>
      </c>
      <c r="G211" t="s">
        <v>56</v>
      </c>
    </row>
    <row r="212" spans="1:8" ht="15.75" customHeight="1">
      <c r="A212" s="19">
        <f t="shared" si="14"/>
        <v>2</v>
      </c>
      <c r="B212" s="17">
        <v>45809</v>
      </c>
      <c r="C212" s="19" t="str">
        <f t="shared" si="12"/>
        <v>06</v>
      </c>
      <c r="D212" t="str">
        <f t="shared" si="13"/>
        <v>JUNIO</v>
      </c>
      <c r="E212" s="11" t="s">
        <v>18</v>
      </c>
      <c r="F212" t="str">
        <f>_xlfn.XLOOKUP(E212,MAPEO!$B:$B,MAPEO!$C:$C,"",0)</f>
        <v>Movimiento Consciente</v>
      </c>
      <c r="G212" t="s">
        <v>56</v>
      </c>
    </row>
    <row r="213" spans="1:8" ht="15.75" customHeight="1">
      <c r="A213" s="19">
        <f t="shared" si="14"/>
        <v>2</v>
      </c>
      <c r="B213" s="17">
        <v>45809</v>
      </c>
      <c r="C213" s="19" t="str">
        <f t="shared" si="12"/>
        <v>06</v>
      </c>
      <c r="D213" t="str">
        <f t="shared" si="13"/>
        <v>JUNIO</v>
      </c>
      <c r="E213" s="5" t="s">
        <v>19</v>
      </c>
      <c r="F213" t="str">
        <f>_xlfn.XLOOKUP(E213,MAPEO!$B:$B,MAPEO!$C:$C,"",0)</f>
        <v>Cross Traning</v>
      </c>
      <c r="G213" t="s">
        <v>56</v>
      </c>
    </row>
    <row r="214" spans="1:8" ht="15.75" customHeight="1">
      <c r="A214" s="19">
        <f t="shared" si="14"/>
        <v>2</v>
      </c>
      <c r="B214" s="17">
        <v>45809</v>
      </c>
      <c r="C214" s="19" t="str">
        <f t="shared" si="12"/>
        <v>06</v>
      </c>
      <c r="D214" t="str">
        <f t="shared" si="13"/>
        <v>JUNIO</v>
      </c>
      <c r="E214" s="12" t="s">
        <v>20</v>
      </c>
      <c r="F214" t="str">
        <f>_xlfn.XLOOKUP(E214,MAPEO!$B:$B,MAPEO!$C:$C,"",0)</f>
        <v>Funcional</v>
      </c>
      <c r="G214" t="s">
        <v>56</v>
      </c>
    </row>
    <row r="215" spans="1:8" ht="15.75" customHeight="1">
      <c r="A215" s="19">
        <f t="shared" si="14"/>
        <v>2</v>
      </c>
      <c r="B215" s="17">
        <v>45809</v>
      </c>
      <c r="C215" s="19" t="str">
        <f t="shared" si="12"/>
        <v>06</v>
      </c>
      <c r="D215" t="str">
        <f t="shared" si="13"/>
        <v>JUNIO</v>
      </c>
      <c r="E215" s="13" t="s">
        <v>21</v>
      </c>
      <c r="F215" t="str">
        <f>_xlfn.XLOOKUP(E215,MAPEO!$B:$B,MAPEO!$C:$C,"",0)</f>
        <v>EFA</v>
      </c>
      <c r="G215" t="s">
        <v>56</v>
      </c>
    </row>
    <row r="216" spans="1:8" ht="15.75" customHeight="1">
      <c r="A216" s="19">
        <f t="shared" si="14"/>
        <v>2</v>
      </c>
      <c r="B216" s="17">
        <v>45809</v>
      </c>
      <c r="C216" s="19" t="str">
        <f t="shared" si="12"/>
        <v>06</v>
      </c>
      <c r="D216" t="str">
        <f t="shared" si="13"/>
        <v>JUNIO</v>
      </c>
      <c r="E216" s="14" t="s">
        <v>23</v>
      </c>
      <c r="F216" t="str">
        <f>_xlfn.XLOOKUP(E216,MAPEO!$B:$B,MAPEO!$C:$C,"",0)</f>
        <v>Personalizados</v>
      </c>
      <c r="G216" t="str">
        <f>_xlfn.XLOOKUP(E216,MAPEO!$B:$B,MAPEO!$D:$D,"",0)</f>
        <v>Marco</v>
      </c>
    </row>
    <row r="217" spans="1:8" ht="15.75" customHeight="1">
      <c r="A217" s="19">
        <f t="shared" si="14"/>
        <v>2</v>
      </c>
      <c r="B217" s="17">
        <v>45809</v>
      </c>
      <c r="C217" s="19" t="str">
        <f t="shared" si="12"/>
        <v>06</v>
      </c>
      <c r="D217" t="str">
        <f t="shared" si="13"/>
        <v>JUNIO</v>
      </c>
      <c r="E217" s="5" t="s">
        <v>24</v>
      </c>
      <c r="F217" t="str">
        <f>_xlfn.XLOOKUP(E217,MAPEO!$B:$B,MAPEO!$C:$C,"",0)</f>
        <v>Personalizados</v>
      </c>
      <c r="G217" t="str">
        <f>_xlfn.XLOOKUP(E217,MAPEO!$B:$B,MAPEO!$D:$D,"",0)</f>
        <v>Lean</v>
      </c>
    </row>
    <row r="218" spans="1:8" ht="15.75" customHeight="1">
      <c r="A218" s="19">
        <f t="shared" si="14"/>
        <v>2</v>
      </c>
      <c r="B218" s="17">
        <v>45809</v>
      </c>
      <c r="C218" s="19" t="str">
        <f t="shared" si="12"/>
        <v>06</v>
      </c>
      <c r="D218" t="str">
        <f t="shared" si="13"/>
        <v>JUNIO</v>
      </c>
      <c r="E218" s="12" t="s">
        <v>25</v>
      </c>
      <c r="F218" t="str">
        <f>_xlfn.XLOOKUP(E218,MAPEO!$B:$B,MAPEO!$C:$C,"",0)</f>
        <v>Nutricion</v>
      </c>
      <c r="G218" t="s">
        <v>56</v>
      </c>
    </row>
    <row r="219" spans="1:8" ht="15.75" customHeight="1">
      <c r="A219" s="19">
        <v>3</v>
      </c>
      <c r="B219" s="17">
        <v>45689</v>
      </c>
      <c r="C219" s="19" t="str">
        <f t="shared" si="12"/>
        <v>02</v>
      </c>
      <c r="D219" t="str">
        <f t="shared" si="13"/>
        <v>FEBRERO</v>
      </c>
      <c r="E219" s="1" t="s">
        <v>3</v>
      </c>
      <c r="F219" t="str">
        <f>_xlfn.XLOOKUP(E219,MAPEO!$B:$B,MAPEO!$C:$C,"",0)</f>
        <v>Calistenia</v>
      </c>
      <c r="G219" t="str">
        <f>_xlfn.XLOOKUP(E219,MAPEO!$B:$B,MAPEO!$D:$D,"",0)</f>
        <v>Edd</v>
      </c>
      <c r="H219">
        <v>26</v>
      </c>
    </row>
    <row r="220" spans="1:8" ht="15.75" customHeight="1">
      <c r="A220" s="19">
        <v>3</v>
      </c>
      <c r="B220" s="17">
        <v>45689</v>
      </c>
      <c r="C220" s="19" t="str">
        <f t="shared" si="12"/>
        <v>02</v>
      </c>
      <c r="D220" t="str">
        <f t="shared" si="13"/>
        <v>FEBRERO</v>
      </c>
      <c r="E220" s="2" t="s">
        <v>4</v>
      </c>
      <c r="F220" t="str">
        <f>_xlfn.XLOOKUP(E220,MAPEO!$B:$B,MAPEO!$C:$C,"",0)</f>
        <v>Calistenia</v>
      </c>
      <c r="G220" t="str">
        <f>_xlfn.XLOOKUP(E220,MAPEO!$B:$B,MAPEO!$D:$D,"",0)</f>
        <v>Martin</v>
      </c>
      <c r="H220">
        <v>33</v>
      </c>
    </row>
    <row r="221" spans="1:8" ht="15.75" customHeight="1">
      <c r="A221" s="19">
        <v>3</v>
      </c>
      <c r="B221" s="17">
        <v>45689</v>
      </c>
      <c r="C221" s="19" t="str">
        <f t="shared" si="12"/>
        <v>02</v>
      </c>
      <c r="D221" t="str">
        <f t="shared" si="13"/>
        <v>FEBRERO</v>
      </c>
      <c r="E221" s="3" t="s">
        <v>6</v>
      </c>
      <c r="F221" t="str">
        <f>_xlfn.XLOOKUP(E221,MAPEO!$B:$B,MAPEO!$C:$C,"",0)</f>
        <v>Calistenia</v>
      </c>
      <c r="G221" t="str">
        <f>_xlfn.XLOOKUP(E221,MAPEO!$B:$B,MAPEO!$D:$D,"",0)</f>
        <v>Agus</v>
      </c>
      <c r="H221">
        <v>20</v>
      </c>
    </row>
    <row r="222" spans="1:8" ht="15.75" customHeight="1">
      <c r="A222" s="19">
        <v>3</v>
      </c>
      <c r="B222" s="17">
        <v>45689</v>
      </c>
      <c r="C222" s="19" t="str">
        <f t="shared" si="12"/>
        <v>02</v>
      </c>
      <c r="D222" t="str">
        <f t="shared" si="13"/>
        <v>FEBRERO</v>
      </c>
      <c r="E222" s="4" t="s">
        <v>7</v>
      </c>
      <c r="F222" t="str">
        <f>_xlfn.XLOOKUP(E222,MAPEO!$B:$B,MAPEO!$C:$C,"",0)</f>
        <v>Calistenia</v>
      </c>
      <c r="G222" t="str">
        <f>_xlfn.XLOOKUP(E222,MAPEO!$B:$B,MAPEO!$D:$D,"",0)</f>
        <v>Lazaro</v>
      </c>
      <c r="H222">
        <v>12</v>
      </c>
    </row>
    <row r="223" spans="1:8" ht="15.75" customHeight="1">
      <c r="A223" s="19">
        <v>3</v>
      </c>
      <c r="B223" s="17">
        <v>45689</v>
      </c>
      <c r="C223" s="19" t="str">
        <f t="shared" si="12"/>
        <v>02</v>
      </c>
      <c r="D223" t="str">
        <f t="shared" si="13"/>
        <v>FEBRERO</v>
      </c>
      <c r="E223" s="4" t="s">
        <v>44</v>
      </c>
      <c r="F223" t="str">
        <f>_xlfn.XLOOKUP(E223,MAPEO!$B:$B,MAPEO!$C:$C,"",0)</f>
        <v>Calistenia</v>
      </c>
      <c r="G223" t="str">
        <f>_xlfn.XLOOKUP(E223,MAPEO!$B:$B,MAPEO!$D:$D,"",0)</f>
        <v>Paula</v>
      </c>
      <c r="H223">
        <v>6</v>
      </c>
    </row>
    <row r="224" spans="1:8" ht="15.75" customHeight="1">
      <c r="A224" s="19">
        <v>3</v>
      </c>
      <c r="B224" s="17">
        <v>45689</v>
      </c>
      <c r="C224" s="19" t="str">
        <f t="shared" si="12"/>
        <v>02</v>
      </c>
      <c r="D224" t="str">
        <f t="shared" si="13"/>
        <v>FEBRERO</v>
      </c>
      <c r="E224" s="5" t="s">
        <v>8</v>
      </c>
      <c r="F224" t="str">
        <f>_xlfn.XLOOKUP(E224,MAPEO!$B:$B,MAPEO!$C:$C,"",0)</f>
        <v>Boxeo</v>
      </c>
      <c r="G224" t="str">
        <f>_xlfn.XLOOKUP(E224,MAPEO!$B:$B,MAPEO!$D:$D,"",0)</f>
        <v>Mariano</v>
      </c>
      <c r="H224">
        <v>20</v>
      </c>
    </row>
    <row r="225" spans="1:9" ht="15.75" customHeight="1">
      <c r="A225" s="19">
        <v>3</v>
      </c>
      <c r="B225" s="17">
        <v>45689</v>
      </c>
      <c r="C225" s="19" t="str">
        <f t="shared" si="12"/>
        <v>02</v>
      </c>
      <c r="D225" t="str">
        <f t="shared" si="13"/>
        <v>FEBRERO</v>
      </c>
      <c r="E225" s="6" t="s">
        <v>9</v>
      </c>
      <c r="F225" t="str">
        <f>_xlfn.XLOOKUP(E225,MAPEO!$B:$B,MAPEO!$C:$C,"",0)</f>
        <v>Boxeo</v>
      </c>
      <c r="G225" t="str">
        <f>_xlfn.XLOOKUP(E225,MAPEO!$B:$B,MAPEO!$D:$D,"",0)</f>
        <v>tito</v>
      </c>
      <c r="H225">
        <v>21</v>
      </c>
    </row>
    <row r="226" spans="1:9" ht="15.75" customHeight="1">
      <c r="A226" s="19">
        <v>3</v>
      </c>
      <c r="B226" s="17">
        <v>45689</v>
      </c>
      <c r="C226" s="19" t="str">
        <f t="shared" si="12"/>
        <v>02</v>
      </c>
      <c r="D226" t="str">
        <f t="shared" si="13"/>
        <v>FEBRERO</v>
      </c>
      <c r="E226" s="1" t="s">
        <v>30</v>
      </c>
      <c r="F226" t="str">
        <f>_xlfn.XLOOKUP(E226,MAPEO!$B:$B,MAPEO!$C:$C,"",0)</f>
        <v>MMA+BOXEO</v>
      </c>
      <c r="G226" t="s">
        <v>56</v>
      </c>
      <c r="H226">
        <v>5</v>
      </c>
    </row>
    <row r="227" spans="1:9" ht="15.75" customHeight="1">
      <c r="A227" s="19">
        <v>3</v>
      </c>
      <c r="B227" s="17">
        <v>45689</v>
      </c>
      <c r="C227" s="19" t="str">
        <f t="shared" si="12"/>
        <v>02</v>
      </c>
      <c r="D227" t="str">
        <f t="shared" si="13"/>
        <v>FEBRERO</v>
      </c>
      <c r="E227" s="7" t="s">
        <v>11</v>
      </c>
      <c r="F227" t="str">
        <f>_xlfn.XLOOKUP(E227,MAPEO!$B:$B,MAPEO!$C:$C,"",0)</f>
        <v>Karate</v>
      </c>
      <c r="G227" t="s">
        <v>56</v>
      </c>
      <c r="H227">
        <v>1</v>
      </c>
    </row>
    <row r="228" spans="1:9" ht="15.75" customHeight="1">
      <c r="A228" s="19">
        <v>3</v>
      </c>
      <c r="B228" s="17">
        <v>45689</v>
      </c>
      <c r="C228" s="19" t="str">
        <f t="shared" si="12"/>
        <v>02</v>
      </c>
      <c r="D228" t="str">
        <f t="shared" si="13"/>
        <v>FEBRERO</v>
      </c>
      <c r="E228" s="12" t="s">
        <v>22</v>
      </c>
      <c r="F228" t="str">
        <f>_xlfn.XLOOKUP(E228,MAPEO!$B:$B,MAPEO!$C:$C,"",0)</f>
        <v>Taekwondo</v>
      </c>
      <c r="G228" t="s">
        <v>56</v>
      </c>
      <c r="H228">
        <v>2</v>
      </c>
    </row>
    <row r="229" spans="1:9" ht="15.75" customHeight="1">
      <c r="A229" s="19">
        <v>3</v>
      </c>
      <c r="B229" s="17">
        <v>45689</v>
      </c>
      <c r="C229" s="19" t="str">
        <f t="shared" si="12"/>
        <v>02</v>
      </c>
      <c r="D229" t="str">
        <f t="shared" si="13"/>
        <v>FEBRERO</v>
      </c>
      <c r="E229" s="3" t="s">
        <v>12</v>
      </c>
      <c r="F229" t="str">
        <f>_xlfn.XLOOKUP(E229,MAPEO!$B:$B,MAPEO!$C:$C,"",0)</f>
        <v>Tela</v>
      </c>
      <c r="G229" t="s">
        <v>56</v>
      </c>
      <c r="H229">
        <v>5</v>
      </c>
    </row>
    <row r="230" spans="1:9" ht="15.75" customHeight="1">
      <c r="A230" s="19">
        <v>3</v>
      </c>
      <c r="B230" s="17">
        <v>45689</v>
      </c>
      <c r="C230" s="19" t="str">
        <f t="shared" si="12"/>
        <v>02</v>
      </c>
      <c r="D230" t="str">
        <f t="shared" si="13"/>
        <v>FEBRERO</v>
      </c>
      <c r="E230" s="8" t="s">
        <v>13</v>
      </c>
      <c r="F230" t="str">
        <f>_xlfn.XLOOKUP(E230,MAPEO!$B:$B,MAPEO!$C:$C,"",0)</f>
        <v>Lyra</v>
      </c>
      <c r="G230" t="s">
        <v>56</v>
      </c>
      <c r="H230">
        <v>10</v>
      </c>
    </row>
    <row r="231" spans="1:9" ht="15.75" customHeight="1">
      <c r="A231" s="19">
        <v>3</v>
      </c>
      <c r="B231" s="17">
        <v>45689</v>
      </c>
      <c r="C231" s="19" t="str">
        <f t="shared" si="12"/>
        <v>02</v>
      </c>
      <c r="D231" t="str">
        <f t="shared" si="13"/>
        <v>FEBRERO</v>
      </c>
      <c r="E231" s="13" t="s">
        <v>14</v>
      </c>
      <c r="F231" t="str">
        <f>_xlfn.XLOOKUP(E231,MAPEO!$B:$B,MAPEO!$C:$C,"",0)</f>
        <v>Yoga y Yoga Columpio</v>
      </c>
      <c r="G231" t="s">
        <v>56</v>
      </c>
      <c r="H231">
        <v>3</v>
      </c>
    </row>
    <row r="232" spans="1:9" ht="15.75" customHeight="1">
      <c r="A232" s="19">
        <v>3</v>
      </c>
      <c r="B232" s="17">
        <v>45689</v>
      </c>
      <c r="C232" s="19" t="str">
        <f t="shared" si="12"/>
        <v>02</v>
      </c>
      <c r="D232" t="str">
        <f t="shared" si="13"/>
        <v>FEBRERO</v>
      </c>
      <c r="E232" s="5" t="s">
        <v>15</v>
      </c>
      <c r="F232" t="str">
        <f>_xlfn.XLOOKUP(E232,MAPEO!$B:$B,MAPEO!$C:$C,"",0)</f>
        <v>Pole Sport</v>
      </c>
      <c r="G232" t="s">
        <v>56</v>
      </c>
      <c r="H232">
        <v>22</v>
      </c>
    </row>
    <row r="233" spans="1:9" ht="15.75" customHeight="1">
      <c r="A233" s="19">
        <v>3</v>
      </c>
      <c r="B233" s="17">
        <v>45689</v>
      </c>
      <c r="C233" s="19" t="str">
        <f t="shared" si="12"/>
        <v>02</v>
      </c>
      <c r="D233" t="str">
        <f t="shared" si="13"/>
        <v>FEBRERO</v>
      </c>
      <c r="E233" s="10" t="s">
        <v>16</v>
      </c>
      <c r="F233" t="str">
        <f>_xlfn.XLOOKUP(E233,MAPEO!$B:$B,MAPEO!$C:$C,"",0)</f>
        <v>Acro Kids</v>
      </c>
      <c r="G233" t="s">
        <v>56</v>
      </c>
      <c r="H233">
        <v>6</v>
      </c>
    </row>
    <row r="234" spans="1:9" ht="15.75" customHeight="1">
      <c r="A234" s="19">
        <v>3</v>
      </c>
      <c r="B234" s="17">
        <v>45689</v>
      </c>
      <c r="C234" s="19" t="str">
        <f t="shared" si="12"/>
        <v>02</v>
      </c>
      <c r="D234" t="str">
        <f t="shared" si="13"/>
        <v>FEBRERO</v>
      </c>
      <c r="E234" s="21" t="s">
        <v>17</v>
      </c>
      <c r="F234" t="str">
        <f>_xlfn.XLOOKUP(E234,MAPEO!$B:$B,MAPEO!$C:$C,"",0)</f>
        <v>Calistenia</v>
      </c>
      <c r="G234" t="s">
        <v>56</v>
      </c>
      <c r="H234">
        <v>1</v>
      </c>
    </row>
    <row r="235" spans="1:9" ht="15.75" customHeight="1">
      <c r="A235" s="19">
        <v>3</v>
      </c>
      <c r="B235" s="17">
        <v>45689</v>
      </c>
      <c r="C235" s="19" t="str">
        <f t="shared" si="12"/>
        <v>02</v>
      </c>
      <c r="D235" t="str">
        <f t="shared" si="13"/>
        <v>FEBRERO</v>
      </c>
      <c r="E235" s="11" t="s">
        <v>18</v>
      </c>
      <c r="F235" t="str">
        <f>_xlfn.XLOOKUP(E235,MAPEO!$B:$B,MAPEO!$C:$C,"",0)</f>
        <v>Movimiento Consciente</v>
      </c>
      <c r="G235" t="s">
        <v>56</v>
      </c>
      <c r="H235">
        <v>3</v>
      </c>
    </row>
    <row r="236" spans="1:9" ht="15.75" customHeight="1">
      <c r="A236" s="19">
        <v>3</v>
      </c>
      <c r="B236" s="17">
        <v>45689</v>
      </c>
      <c r="C236" s="19" t="str">
        <f t="shared" si="12"/>
        <v>02</v>
      </c>
      <c r="D236" t="str">
        <f t="shared" si="13"/>
        <v>FEBRERO</v>
      </c>
      <c r="E236" s="5" t="s">
        <v>19</v>
      </c>
      <c r="F236" t="str">
        <f>_xlfn.XLOOKUP(E236,MAPEO!$B:$B,MAPEO!$C:$C,"",0)</f>
        <v>Cross Traning</v>
      </c>
      <c r="G236" t="s">
        <v>56</v>
      </c>
      <c r="H236">
        <v>2</v>
      </c>
    </row>
    <row r="237" spans="1:9" ht="15.75" customHeight="1">
      <c r="A237" s="19">
        <v>3</v>
      </c>
      <c r="B237" s="17">
        <v>45689</v>
      </c>
      <c r="C237" s="19" t="str">
        <f t="shared" si="12"/>
        <v>02</v>
      </c>
      <c r="D237" t="str">
        <f t="shared" si="13"/>
        <v>FEBRERO</v>
      </c>
      <c r="E237" s="12" t="s">
        <v>20</v>
      </c>
      <c r="F237" t="str">
        <f>_xlfn.XLOOKUP(E237,MAPEO!$B:$B,MAPEO!$C:$C,"",0)</f>
        <v>Funcional</v>
      </c>
      <c r="G237" t="s">
        <v>56</v>
      </c>
      <c r="H237">
        <v>111</v>
      </c>
      <c r="I237" t="s">
        <v>31</v>
      </c>
    </row>
    <row r="238" spans="1:9" ht="15.75" customHeight="1">
      <c r="A238" s="19">
        <v>3</v>
      </c>
      <c r="B238" s="17">
        <v>45689</v>
      </c>
      <c r="C238" s="19" t="str">
        <f t="shared" si="12"/>
        <v>02</v>
      </c>
      <c r="D238" t="str">
        <f t="shared" si="13"/>
        <v>FEBRERO</v>
      </c>
      <c r="E238" s="13" t="s">
        <v>21</v>
      </c>
      <c r="F238" t="str">
        <f>_xlfn.XLOOKUP(E238,MAPEO!$B:$B,MAPEO!$C:$C,"",0)</f>
        <v>EFA</v>
      </c>
      <c r="G238" t="s">
        <v>56</v>
      </c>
      <c r="H238">
        <v>1</v>
      </c>
      <c r="I238" t="s">
        <v>32</v>
      </c>
    </row>
    <row r="239" spans="1:9" ht="15.75" customHeight="1">
      <c r="A239" s="19">
        <v>3</v>
      </c>
      <c r="B239" s="17">
        <v>45689</v>
      </c>
      <c r="C239" s="19" t="str">
        <f t="shared" si="12"/>
        <v>02</v>
      </c>
      <c r="D239" t="str">
        <f t="shared" si="13"/>
        <v>FEBRERO</v>
      </c>
      <c r="E239" s="14" t="s">
        <v>23</v>
      </c>
      <c r="F239" t="str">
        <f>_xlfn.XLOOKUP(E239,MAPEO!$B:$B,MAPEO!$C:$C,"",0)</f>
        <v>Personalizados</v>
      </c>
      <c r="G239" t="str">
        <f>_xlfn.XLOOKUP(E239,MAPEO!$B:$B,MAPEO!$D:$D,"",0)</f>
        <v>Marco</v>
      </c>
      <c r="H239">
        <v>33</v>
      </c>
    </row>
    <row r="240" spans="1:9" ht="15.75" customHeight="1">
      <c r="A240" s="19">
        <v>3</v>
      </c>
      <c r="B240" s="17">
        <v>45689</v>
      </c>
      <c r="C240" s="19" t="str">
        <f t="shared" si="12"/>
        <v>02</v>
      </c>
      <c r="D240" t="str">
        <f t="shared" si="13"/>
        <v>FEBRERO</v>
      </c>
      <c r="E240" s="5" t="s">
        <v>24</v>
      </c>
      <c r="F240" t="str">
        <f>_xlfn.XLOOKUP(E240,MAPEO!$B:$B,MAPEO!$C:$C,"",0)</f>
        <v>Personalizados</v>
      </c>
      <c r="G240" t="str">
        <f>_xlfn.XLOOKUP(E240,MAPEO!$B:$B,MAPEO!$D:$D,"",0)</f>
        <v>Lean</v>
      </c>
      <c r="H240">
        <v>2</v>
      </c>
    </row>
    <row r="241" spans="1:8" ht="15.75" customHeight="1">
      <c r="A241" s="19">
        <v>3</v>
      </c>
      <c r="B241" s="17">
        <v>45717</v>
      </c>
      <c r="C241" s="19" t="str">
        <f t="shared" si="12"/>
        <v>03</v>
      </c>
      <c r="D241" t="str">
        <f t="shared" si="13"/>
        <v>MARZO</v>
      </c>
      <c r="E241" s="1" t="s">
        <v>3</v>
      </c>
      <c r="F241" t="str">
        <f>_xlfn.XLOOKUP(E241,MAPEO!$B:$B,MAPEO!$C:$C,"",0)</f>
        <v>Calistenia</v>
      </c>
      <c r="G241" t="str">
        <f>_xlfn.XLOOKUP(E241,MAPEO!$B:$B,MAPEO!$D:$D,"",0)</f>
        <v>Edd</v>
      </c>
      <c r="H241">
        <v>35</v>
      </c>
    </row>
    <row r="242" spans="1:8" ht="15.75" customHeight="1">
      <c r="A242" s="19">
        <v>3</v>
      </c>
      <c r="B242" s="17">
        <v>45717</v>
      </c>
      <c r="C242" s="19" t="str">
        <f t="shared" si="12"/>
        <v>03</v>
      </c>
      <c r="D242" t="str">
        <f t="shared" si="13"/>
        <v>MARZO</v>
      </c>
      <c r="E242" s="2" t="s">
        <v>4</v>
      </c>
      <c r="F242" t="str">
        <f>_xlfn.XLOOKUP(E242,MAPEO!$B:$B,MAPEO!$C:$C,"",0)</f>
        <v>Calistenia</v>
      </c>
      <c r="G242" t="str">
        <f>_xlfn.XLOOKUP(E242,MAPEO!$B:$B,MAPEO!$D:$D,"",0)</f>
        <v>Martin</v>
      </c>
      <c r="H242">
        <v>37</v>
      </c>
    </row>
    <row r="243" spans="1:8" ht="15.75" customHeight="1">
      <c r="A243" s="19">
        <v>3</v>
      </c>
      <c r="B243" s="17">
        <v>45717</v>
      </c>
      <c r="C243" s="19" t="str">
        <f t="shared" si="12"/>
        <v>03</v>
      </c>
      <c r="D243" t="str">
        <f t="shared" si="13"/>
        <v>MARZO</v>
      </c>
      <c r="E243" s="3" t="s">
        <v>6</v>
      </c>
      <c r="F243" t="str">
        <f>_xlfn.XLOOKUP(E243,MAPEO!$B:$B,MAPEO!$C:$C,"",0)</f>
        <v>Calistenia</v>
      </c>
      <c r="G243" t="str">
        <f>_xlfn.XLOOKUP(E243,MAPEO!$B:$B,MAPEO!$D:$D,"",0)</f>
        <v>Agus</v>
      </c>
      <c r="H243">
        <v>19</v>
      </c>
    </row>
    <row r="244" spans="1:8" ht="15.75" customHeight="1">
      <c r="A244" s="19">
        <v>3</v>
      </c>
      <c r="B244" s="17">
        <v>45717</v>
      </c>
      <c r="C244" s="19" t="str">
        <f t="shared" si="12"/>
        <v>03</v>
      </c>
      <c r="D244" t="str">
        <f t="shared" si="13"/>
        <v>MARZO</v>
      </c>
      <c r="E244" s="4" t="s">
        <v>7</v>
      </c>
      <c r="F244" t="str">
        <f>_xlfn.XLOOKUP(E244,MAPEO!$B:$B,MAPEO!$C:$C,"",0)</f>
        <v>Calistenia</v>
      </c>
      <c r="G244" t="str">
        <f>_xlfn.XLOOKUP(E244,MAPEO!$B:$B,MAPEO!$D:$D,"",0)</f>
        <v>Lazaro</v>
      </c>
      <c r="H244">
        <v>18</v>
      </c>
    </row>
    <row r="245" spans="1:8" ht="15.75" customHeight="1">
      <c r="A245" s="19">
        <v>3</v>
      </c>
      <c r="B245" s="17">
        <v>45717</v>
      </c>
      <c r="C245" s="19" t="str">
        <f t="shared" si="12"/>
        <v>03</v>
      </c>
      <c r="D245" t="str">
        <f t="shared" si="13"/>
        <v>MARZO</v>
      </c>
      <c r="E245" s="4" t="s">
        <v>44</v>
      </c>
      <c r="F245" t="str">
        <f>_xlfn.XLOOKUP(E245,MAPEO!$B:$B,MAPEO!$C:$C,"",0)</f>
        <v>Calistenia</v>
      </c>
      <c r="G245" t="str">
        <f>_xlfn.XLOOKUP(E245,MAPEO!$B:$B,MAPEO!$D:$D,"",0)</f>
        <v>Paula</v>
      </c>
      <c r="H245">
        <v>7</v>
      </c>
    </row>
    <row r="246" spans="1:8" ht="15.75" customHeight="1">
      <c r="A246" s="19">
        <v>3</v>
      </c>
      <c r="B246" s="17">
        <v>45717</v>
      </c>
      <c r="C246" s="19" t="str">
        <f t="shared" si="12"/>
        <v>03</v>
      </c>
      <c r="D246" t="str">
        <f t="shared" si="13"/>
        <v>MARZO</v>
      </c>
      <c r="E246" s="5" t="s">
        <v>8</v>
      </c>
      <c r="F246" t="str">
        <f>_xlfn.XLOOKUP(E246,MAPEO!$B:$B,MAPEO!$C:$C,"",0)</f>
        <v>Boxeo</v>
      </c>
      <c r="G246" t="str">
        <f>_xlfn.XLOOKUP(E246,MAPEO!$B:$B,MAPEO!$D:$D,"",0)</f>
        <v>Mariano</v>
      </c>
      <c r="H246">
        <v>47</v>
      </c>
    </row>
    <row r="247" spans="1:8" ht="15.75" customHeight="1">
      <c r="A247" s="19">
        <v>3</v>
      </c>
      <c r="B247" s="17">
        <v>45717</v>
      </c>
      <c r="C247" s="19" t="str">
        <f t="shared" si="12"/>
        <v>03</v>
      </c>
      <c r="D247" t="str">
        <f t="shared" si="13"/>
        <v>MARZO</v>
      </c>
      <c r="E247" s="6" t="s">
        <v>9</v>
      </c>
      <c r="F247" t="str">
        <f>_xlfn.XLOOKUP(E247,MAPEO!$B:$B,MAPEO!$C:$C,"",0)</f>
        <v>Boxeo</v>
      </c>
      <c r="G247" t="str">
        <f>_xlfn.XLOOKUP(E247,MAPEO!$B:$B,MAPEO!$D:$D,"",0)</f>
        <v>tito</v>
      </c>
      <c r="H247">
        <v>25</v>
      </c>
    </row>
    <row r="248" spans="1:8" ht="15.75" customHeight="1">
      <c r="A248" s="19">
        <v>3</v>
      </c>
      <c r="B248" s="17">
        <v>45717</v>
      </c>
      <c r="C248" s="19" t="str">
        <f t="shared" si="12"/>
        <v>03</v>
      </c>
      <c r="D248" t="str">
        <f t="shared" si="13"/>
        <v>MARZO</v>
      </c>
      <c r="E248" s="1" t="s">
        <v>30</v>
      </c>
      <c r="F248" t="str">
        <f>_xlfn.XLOOKUP(E248,MAPEO!$B:$B,MAPEO!$C:$C,"",0)</f>
        <v>MMA+BOXEO</v>
      </c>
      <c r="G248" t="s">
        <v>56</v>
      </c>
      <c r="H248">
        <v>8</v>
      </c>
    </row>
    <row r="249" spans="1:8" ht="15.75" customHeight="1">
      <c r="A249" s="19">
        <v>3</v>
      </c>
      <c r="B249" s="17">
        <v>45717</v>
      </c>
      <c r="C249" s="19" t="str">
        <f t="shared" si="12"/>
        <v>03</v>
      </c>
      <c r="D249" t="str">
        <f t="shared" si="13"/>
        <v>MARZO</v>
      </c>
      <c r="E249" s="7" t="s">
        <v>11</v>
      </c>
      <c r="F249" t="str">
        <f>_xlfn.XLOOKUP(E249,MAPEO!$B:$B,MAPEO!$C:$C,"",0)</f>
        <v>Karate</v>
      </c>
      <c r="G249" t="s">
        <v>56</v>
      </c>
      <c r="H249">
        <v>1</v>
      </c>
    </row>
    <row r="250" spans="1:8" ht="15.75" customHeight="1">
      <c r="A250" s="19">
        <v>3</v>
      </c>
      <c r="B250" s="17">
        <v>45717</v>
      </c>
      <c r="C250" s="19" t="str">
        <f t="shared" si="12"/>
        <v>03</v>
      </c>
      <c r="D250" t="str">
        <f t="shared" si="13"/>
        <v>MARZO</v>
      </c>
      <c r="E250" s="3" t="s">
        <v>12</v>
      </c>
      <c r="F250" t="str">
        <f>_xlfn.XLOOKUP(E250,MAPEO!$B:$B,MAPEO!$C:$C,"",0)</f>
        <v>Tela</v>
      </c>
      <c r="G250" t="s">
        <v>56</v>
      </c>
      <c r="H250">
        <v>4</v>
      </c>
    </row>
    <row r="251" spans="1:8" ht="15.75" customHeight="1">
      <c r="A251" s="19">
        <v>3</v>
      </c>
      <c r="B251" s="17">
        <v>45717</v>
      </c>
      <c r="C251" s="19" t="str">
        <f t="shared" si="12"/>
        <v>03</v>
      </c>
      <c r="D251" t="str">
        <f t="shared" si="13"/>
        <v>MARZO</v>
      </c>
      <c r="E251" s="8" t="s">
        <v>13</v>
      </c>
      <c r="F251" t="str">
        <f>_xlfn.XLOOKUP(E251,MAPEO!$B:$B,MAPEO!$C:$C,"",0)</f>
        <v>Lyra</v>
      </c>
      <c r="G251" t="s">
        <v>56</v>
      </c>
      <c r="H251">
        <v>9</v>
      </c>
    </row>
    <row r="252" spans="1:8" ht="15.75" customHeight="1">
      <c r="A252" s="19">
        <v>3</v>
      </c>
      <c r="B252" s="17">
        <v>45717</v>
      </c>
      <c r="C252" s="19" t="str">
        <f t="shared" si="12"/>
        <v>03</v>
      </c>
      <c r="D252" t="str">
        <f t="shared" si="13"/>
        <v>MARZO</v>
      </c>
      <c r="E252" s="13" t="s">
        <v>14</v>
      </c>
      <c r="F252" t="str">
        <f>_xlfn.XLOOKUP(E252,MAPEO!$B:$B,MAPEO!$C:$C,"",0)</f>
        <v>Yoga y Yoga Columpio</v>
      </c>
      <c r="G252" t="s">
        <v>56</v>
      </c>
      <c r="H252">
        <v>4</v>
      </c>
    </row>
    <row r="253" spans="1:8" ht="15.75" customHeight="1">
      <c r="A253" s="19">
        <v>3</v>
      </c>
      <c r="B253" s="17">
        <v>45717</v>
      </c>
      <c r="C253" s="19" t="str">
        <f t="shared" si="12"/>
        <v>03</v>
      </c>
      <c r="D253" t="str">
        <f t="shared" si="13"/>
        <v>MARZO</v>
      </c>
      <c r="E253" s="5" t="s">
        <v>15</v>
      </c>
      <c r="F253" t="str">
        <f>_xlfn.XLOOKUP(E253,MAPEO!$B:$B,MAPEO!$C:$C,"",0)</f>
        <v>Pole Sport</v>
      </c>
      <c r="G253" t="s">
        <v>56</v>
      </c>
      <c r="H253">
        <v>24</v>
      </c>
    </row>
    <row r="254" spans="1:8" ht="15.75" customHeight="1">
      <c r="A254" s="19">
        <v>3</v>
      </c>
      <c r="B254" s="17">
        <v>45717</v>
      </c>
      <c r="C254" s="19" t="str">
        <f t="shared" si="12"/>
        <v>03</v>
      </c>
      <c r="D254" t="str">
        <f t="shared" si="13"/>
        <v>MARZO</v>
      </c>
      <c r="E254" s="10" t="s">
        <v>16</v>
      </c>
      <c r="F254" t="str">
        <f>_xlfn.XLOOKUP(E254,MAPEO!$B:$B,MAPEO!$C:$C,"",0)</f>
        <v>Acro Kids</v>
      </c>
      <c r="G254" t="s">
        <v>56</v>
      </c>
      <c r="H254">
        <v>10</v>
      </c>
    </row>
    <row r="255" spans="1:8" ht="15.75" customHeight="1">
      <c r="A255" s="19">
        <v>3</v>
      </c>
      <c r="B255" s="17">
        <v>45717</v>
      </c>
      <c r="C255" s="19" t="str">
        <f t="shared" si="12"/>
        <v>03</v>
      </c>
      <c r="D255" t="str">
        <f t="shared" si="13"/>
        <v>MARZO</v>
      </c>
      <c r="E255" s="3" t="s">
        <v>17</v>
      </c>
      <c r="F255" t="str">
        <f>_xlfn.XLOOKUP(E255,MAPEO!$B:$B,MAPEO!$C:$C,"",0)</f>
        <v>Calistenia</v>
      </c>
      <c r="G255" t="s">
        <v>56</v>
      </c>
      <c r="H255">
        <v>6</v>
      </c>
    </row>
    <row r="256" spans="1:8" ht="15.75" customHeight="1">
      <c r="A256" s="19">
        <v>3</v>
      </c>
      <c r="B256" s="17">
        <v>45717</v>
      </c>
      <c r="C256" s="19" t="str">
        <f t="shared" si="12"/>
        <v>03</v>
      </c>
      <c r="D256" t="str">
        <f t="shared" si="13"/>
        <v>MARZO</v>
      </c>
      <c r="E256" s="11" t="s">
        <v>18</v>
      </c>
      <c r="F256" t="str">
        <f>_xlfn.XLOOKUP(E256,MAPEO!$B:$B,MAPEO!$C:$C,"",0)</f>
        <v>Movimiento Consciente</v>
      </c>
      <c r="G256" t="s">
        <v>56</v>
      </c>
      <c r="H256">
        <v>6</v>
      </c>
    </row>
    <row r="257" spans="1:8" ht="15.75" customHeight="1">
      <c r="A257" s="19">
        <v>3</v>
      </c>
      <c r="B257" s="17">
        <v>45717</v>
      </c>
      <c r="C257" s="19" t="str">
        <f t="shared" si="12"/>
        <v>03</v>
      </c>
      <c r="D257" t="str">
        <f t="shared" si="13"/>
        <v>MARZO</v>
      </c>
      <c r="E257" s="25" t="s">
        <v>19</v>
      </c>
      <c r="F257" t="str">
        <f>_xlfn.XLOOKUP(E257,MAPEO!$B:$B,MAPEO!$C:$C,"",0)</f>
        <v>Cross Traning</v>
      </c>
      <c r="G257" t="s">
        <v>56</v>
      </c>
      <c r="H257">
        <v>4</v>
      </c>
    </row>
    <row r="258" spans="1:8" ht="15.75" customHeight="1">
      <c r="A258" s="19">
        <v>3</v>
      </c>
      <c r="B258" s="17">
        <v>45717</v>
      </c>
      <c r="C258" s="19" t="str">
        <f t="shared" ref="C258:C321" si="15">TEXT(B258,"mm")</f>
        <v>03</v>
      </c>
      <c r="D258" t="str">
        <f t="shared" ref="D258:D321" si="16">UPPER(TEXT(B258,"mmmm"))</f>
        <v>MARZO</v>
      </c>
      <c r="E258" s="12" t="s">
        <v>20</v>
      </c>
      <c r="F258" t="str">
        <f>_xlfn.XLOOKUP(E258,MAPEO!$B:$B,MAPEO!$C:$C,"",0)</f>
        <v>Funcional</v>
      </c>
      <c r="G258" t="s">
        <v>56</v>
      </c>
      <c r="H258">
        <v>116</v>
      </c>
    </row>
    <row r="259" spans="1:8" ht="15.75" customHeight="1">
      <c r="A259" s="19">
        <v>3</v>
      </c>
      <c r="B259" s="17">
        <v>45717</v>
      </c>
      <c r="C259" s="19" t="str">
        <f t="shared" si="15"/>
        <v>03</v>
      </c>
      <c r="D259" t="str">
        <f t="shared" si="16"/>
        <v>MARZO</v>
      </c>
      <c r="E259" s="13" t="s">
        <v>21</v>
      </c>
      <c r="F259" t="str">
        <f>_xlfn.XLOOKUP(E259,MAPEO!$B:$B,MAPEO!$C:$C,"",0)</f>
        <v>EFA</v>
      </c>
      <c r="G259" t="s">
        <v>56</v>
      </c>
      <c r="H259">
        <v>14</v>
      </c>
    </row>
    <row r="260" spans="1:8" ht="15.75" customHeight="1">
      <c r="A260" s="19">
        <v>3</v>
      </c>
      <c r="B260" s="17">
        <v>45717</v>
      </c>
      <c r="C260" s="19" t="str">
        <f t="shared" si="15"/>
        <v>03</v>
      </c>
      <c r="D260" t="str">
        <f t="shared" si="16"/>
        <v>MARZO</v>
      </c>
      <c r="E260" s="14" t="s">
        <v>23</v>
      </c>
      <c r="F260" t="str">
        <f>_xlfn.XLOOKUP(E260,MAPEO!$B:$B,MAPEO!$C:$C,"",0)</f>
        <v>Personalizados</v>
      </c>
      <c r="G260" t="str">
        <f>_xlfn.XLOOKUP(E260,MAPEO!$B:$B,MAPEO!$D:$D,"",0)</f>
        <v>Marco</v>
      </c>
      <c r="H260">
        <v>21</v>
      </c>
    </row>
    <row r="261" spans="1:8" ht="15.75" customHeight="1">
      <c r="A261" s="19">
        <v>3</v>
      </c>
      <c r="B261" s="17">
        <v>45717</v>
      </c>
      <c r="C261" s="19" t="str">
        <f t="shared" si="15"/>
        <v>03</v>
      </c>
      <c r="D261" t="str">
        <f t="shared" si="16"/>
        <v>MARZO</v>
      </c>
      <c r="E261" s="5" t="s">
        <v>24</v>
      </c>
      <c r="F261" t="str">
        <f>_xlfn.XLOOKUP(E261,MAPEO!$B:$B,MAPEO!$C:$C,"",0)</f>
        <v>Personalizados</v>
      </c>
      <c r="G261" t="str">
        <f>_xlfn.XLOOKUP(E261,MAPEO!$B:$B,MAPEO!$D:$D,"",0)</f>
        <v>Lean</v>
      </c>
      <c r="H261">
        <v>3</v>
      </c>
    </row>
    <row r="262" spans="1:8" ht="15.75" customHeight="1">
      <c r="A262" s="19">
        <v>3</v>
      </c>
      <c r="B262" s="17">
        <v>45717</v>
      </c>
      <c r="C262" s="19" t="str">
        <f t="shared" si="15"/>
        <v>03</v>
      </c>
      <c r="D262" t="str">
        <f t="shared" si="16"/>
        <v>MARZO</v>
      </c>
      <c r="E262" s="26" t="s">
        <v>29</v>
      </c>
      <c r="F262" t="str">
        <f>_xlfn.XLOOKUP(E262,MAPEO!$B:$B,MAPEO!$C:$C,"",0)</f>
        <v>JIU JITSU</v>
      </c>
      <c r="G262" s="18" t="s">
        <v>56</v>
      </c>
      <c r="H262">
        <v>6</v>
      </c>
    </row>
    <row r="263" spans="1:8" ht="15.75" customHeight="1">
      <c r="A263" s="19">
        <v>3</v>
      </c>
      <c r="B263" s="17">
        <v>45748</v>
      </c>
      <c r="C263" s="19" t="str">
        <f t="shared" si="15"/>
        <v>04</v>
      </c>
      <c r="D263" t="str">
        <f t="shared" si="16"/>
        <v>ABRIL</v>
      </c>
      <c r="E263" s="1" t="s">
        <v>3</v>
      </c>
      <c r="F263" t="str">
        <f>_xlfn.XLOOKUP(E263,MAPEO!$B:$B,MAPEO!$C:$C,"",0)</f>
        <v>Calistenia</v>
      </c>
      <c r="G263" t="str">
        <f>_xlfn.XLOOKUP(E263,MAPEO!$B:$B,MAPEO!$D:$D,"",0)</f>
        <v>Edd</v>
      </c>
      <c r="H263">
        <v>37</v>
      </c>
    </row>
    <row r="264" spans="1:8" ht="15.75" customHeight="1">
      <c r="A264" s="19">
        <f t="shared" ref="A264:A285" si="17">A263</f>
        <v>3</v>
      </c>
      <c r="B264" s="17">
        <v>45748</v>
      </c>
      <c r="C264" s="19" t="str">
        <f t="shared" si="15"/>
        <v>04</v>
      </c>
      <c r="D264" t="str">
        <f t="shared" si="16"/>
        <v>ABRIL</v>
      </c>
      <c r="E264" s="2" t="s">
        <v>4</v>
      </c>
      <c r="F264" t="str">
        <f>_xlfn.XLOOKUP(E264,MAPEO!$B:$B,MAPEO!$C:$C,"",0)</f>
        <v>Calistenia</v>
      </c>
      <c r="G264" t="str">
        <f>_xlfn.XLOOKUP(E264,MAPEO!$B:$B,MAPEO!$D:$D,"",0)</f>
        <v>Martin</v>
      </c>
      <c r="H264">
        <v>36</v>
      </c>
    </row>
    <row r="265" spans="1:8" ht="15.75" customHeight="1">
      <c r="A265" s="19">
        <f t="shared" si="17"/>
        <v>3</v>
      </c>
      <c r="B265" s="17">
        <v>45748</v>
      </c>
      <c r="C265" s="19" t="str">
        <f t="shared" si="15"/>
        <v>04</v>
      </c>
      <c r="D265" t="str">
        <f t="shared" si="16"/>
        <v>ABRIL</v>
      </c>
      <c r="E265" s="3" t="s">
        <v>6</v>
      </c>
      <c r="F265" t="str">
        <f>_xlfn.XLOOKUP(E265,MAPEO!$B:$B,MAPEO!$C:$C,"",0)</f>
        <v>Calistenia</v>
      </c>
      <c r="G265" t="str">
        <f>_xlfn.XLOOKUP(E265,MAPEO!$B:$B,MAPEO!$D:$D,"",0)</f>
        <v>Agus</v>
      </c>
      <c r="H265">
        <v>22</v>
      </c>
    </row>
    <row r="266" spans="1:8" ht="15.75" customHeight="1">
      <c r="A266" s="19">
        <f t="shared" si="17"/>
        <v>3</v>
      </c>
      <c r="B266" s="17">
        <v>45748</v>
      </c>
      <c r="C266" s="19" t="str">
        <f t="shared" si="15"/>
        <v>04</v>
      </c>
      <c r="D266" t="str">
        <f t="shared" si="16"/>
        <v>ABRIL</v>
      </c>
      <c r="E266" s="4" t="s">
        <v>7</v>
      </c>
      <c r="F266" t="str">
        <f>_xlfn.XLOOKUP(E266,MAPEO!$B:$B,MAPEO!$C:$C,"",0)</f>
        <v>Calistenia</v>
      </c>
      <c r="G266" t="str">
        <f>_xlfn.XLOOKUP(E266,MAPEO!$B:$B,MAPEO!$D:$D,"",0)</f>
        <v>Lazaro</v>
      </c>
      <c r="H266">
        <v>17</v>
      </c>
    </row>
    <row r="267" spans="1:8" ht="15.75" customHeight="1">
      <c r="A267" s="19">
        <f t="shared" si="17"/>
        <v>3</v>
      </c>
      <c r="B267" s="17">
        <v>45748</v>
      </c>
      <c r="C267" s="19" t="str">
        <f t="shared" si="15"/>
        <v>04</v>
      </c>
      <c r="D267" t="str">
        <f t="shared" si="16"/>
        <v>ABRIL</v>
      </c>
      <c r="E267" s="4" t="s">
        <v>44</v>
      </c>
      <c r="F267" t="str">
        <f>_xlfn.XLOOKUP(E267,MAPEO!$B:$B,MAPEO!$C:$C,"",0)</f>
        <v>Calistenia</v>
      </c>
      <c r="G267" t="str">
        <f>_xlfn.XLOOKUP(E267,MAPEO!$B:$B,MAPEO!$D:$D,"",0)</f>
        <v>Paula</v>
      </c>
      <c r="H267">
        <v>8</v>
      </c>
    </row>
    <row r="268" spans="1:8" ht="15.75" customHeight="1">
      <c r="A268" s="19">
        <f t="shared" si="17"/>
        <v>3</v>
      </c>
      <c r="B268" s="17">
        <v>45748</v>
      </c>
      <c r="C268" s="19" t="str">
        <f t="shared" si="15"/>
        <v>04</v>
      </c>
      <c r="D268" t="str">
        <f t="shared" si="16"/>
        <v>ABRIL</v>
      </c>
      <c r="E268" s="5" t="s">
        <v>8</v>
      </c>
      <c r="F268" t="str">
        <f>_xlfn.XLOOKUP(E268,MAPEO!$B:$B,MAPEO!$C:$C,"",0)</f>
        <v>Boxeo</v>
      </c>
      <c r="G268" t="str">
        <f>_xlfn.XLOOKUP(E268,MAPEO!$B:$B,MAPEO!$D:$D,"",0)</f>
        <v>Mariano</v>
      </c>
      <c r="H268">
        <v>33</v>
      </c>
    </row>
    <row r="269" spans="1:8" ht="15.75" customHeight="1">
      <c r="A269" s="19">
        <f t="shared" si="17"/>
        <v>3</v>
      </c>
      <c r="B269" s="17">
        <v>45748</v>
      </c>
      <c r="C269" s="19" t="str">
        <f t="shared" si="15"/>
        <v>04</v>
      </c>
      <c r="D269" t="str">
        <f t="shared" si="16"/>
        <v>ABRIL</v>
      </c>
      <c r="E269" s="6" t="s">
        <v>9</v>
      </c>
      <c r="F269" t="str">
        <f>_xlfn.XLOOKUP(E269,MAPEO!$B:$B,MAPEO!$C:$C,"",0)</f>
        <v>Boxeo</v>
      </c>
      <c r="G269" t="str">
        <f>_xlfn.XLOOKUP(E269,MAPEO!$B:$B,MAPEO!$D:$D,"",0)</f>
        <v>tito</v>
      </c>
      <c r="H269">
        <v>20</v>
      </c>
    </row>
    <row r="270" spans="1:8" ht="15.75" customHeight="1">
      <c r="A270" s="19">
        <f t="shared" si="17"/>
        <v>3</v>
      </c>
      <c r="B270" s="17">
        <v>45748</v>
      </c>
      <c r="C270" s="19" t="str">
        <f t="shared" si="15"/>
        <v>04</v>
      </c>
      <c r="D270" t="str">
        <f t="shared" si="16"/>
        <v>ABRIL</v>
      </c>
      <c r="E270" s="1" t="s">
        <v>10</v>
      </c>
      <c r="F270" t="str">
        <f>_xlfn.XLOOKUP(E270,MAPEO!$B:$B,MAPEO!$C:$C,"",0)</f>
        <v xml:space="preserve">MMA </v>
      </c>
      <c r="G270" t="s">
        <v>56</v>
      </c>
      <c r="H270">
        <v>7</v>
      </c>
    </row>
    <row r="271" spans="1:8" ht="15.75" customHeight="1">
      <c r="A271" s="19">
        <f t="shared" si="17"/>
        <v>3</v>
      </c>
      <c r="B271" s="17">
        <v>45748</v>
      </c>
      <c r="C271" s="19" t="str">
        <f t="shared" si="15"/>
        <v>04</v>
      </c>
      <c r="D271" t="str">
        <f t="shared" si="16"/>
        <v>ABRIL</v>
      </c>
      <c r="E271" s="7" t="s">
        <v>11</v>
      </c>
      <c r="F271" t="str">
        <f>_xlfn.XLOOKUP(E271,MAPEO!$B:$B,MAPEO!$C:$C,"",0)</f>
        <v>Karate</v>
      </c>
      <c r="G271" t="s">
        <v>56</v>
      </c>
      <c r="H271">
        <v>2</v>
      </c>
    </row>
    <row r="272" spans="1:8" ht="15.75" customHeight="1">
      <c r="A272" s="19">
        <f t="shared" si="17"/>
        <v>3</v>
      </c>
      <c r="B272" s="17">
        <v>45748</v>
      </c>
      <c r="C272" s="19" t="str">
        <f t="shared" si="15"/>
        <v>04</v>
      </c>
      <c r="D272" t="str">
        <f t="shared" si="16"/>
        <v>ABRIL</v>
      </c>
      <c r="E272" s="12" t="s">
        <v>29</v>
      </c>
      <c r="F272" t="str">
        <f>_xlfn.XLOOKUP(E272,MAPEO!$B:$B,MAPEO!$C:$C,"",0)</f>
        <v>JIU JITSU</v>
      </c>
      <c r="G272" s="18" t="s">
        <v>56</v>
      </c>
      <c r="H272">
        <v>5</v>
      </c>
    </row>
    <row r="273" spans="1:8" ht="15.75" customHeight="1">
      <c r="A273" s="19">
        <f t="shared" si="17"/>
        <v>3</v>
      </c>
      <c r="B273" s="17">
        <v>45748</v>
      </c>
      <c r="C273" s="19" t="str">
        <f t="shared" si="15"/>
        <v>04</v>
      </c>
      <c r="D273" t="str">
        <f t="shared" si="16"/>
        <v>ABRIL</v>
      </c>
      <c r="E273" s="3" t="s">
        <v>12</v>
      </c>
      <c r="F273" t="str">
        <f>_xlfn.XLOOKUP(E273,MAPEO!$B:$B,MAPEO!$C:$C,"",0)</f>
        <v>Tela</v>
      </c>
      <c r="G273" t="s">
        <v>56</v>
      </c>
      <c r="H273">
        <v>8</v>
      </c>
    </row>
    <row r="274" spans="1:8" ht="15.75" customHeight="1">
      <c r="A274" s="19">
        <f t="shared" si="17"/>
        <v>3</v>
      </c>
      <c r="B274" s="17">
        <v>45748</v>
      </c>
      <c r="C274" s="19" t="str">
        <f t="shared" si="15"/>
        <v>04</v>
      </c>
      <c r="D274" t="str">
        <f t="shared" si="16"/>
        <v>ABRIL</v>
      </c>
      <c r="E274" s="8" t="s">
        <v>13</v>
      </c>
      <c r="F274" t="str">
        <f>_xlfn.XLOOKUP(E274,MAPEO!$B:$B,MAPEO!$C:$C,"",0)</f>
        <v>Lyra</v>
      </c>
      <c r="G274" t="s">
        <v>56</v>
      </c>
      <c r="H274">
        <v>10</v>
      </c>
    </row>
    <row r="275" spans="1:8" ht="15.75" customHeight="1">
      <c r="A275" s="19">
        <f t="shared" si="17"/>
        <v>3</v>
      </c>
      <c r="B275" s="17">
        <v>45748</v>
      </c>
      <c r="C275" s="19" t="str">
        <f t="shared" si="15"/>
        <v>04</v>
      </c>
      <c r="D275" t="str">
        <f t="shared" si="16"/>
        <v>ABRIL</v>
      </c>
      <c r="E275" s="13" t="s">
        <v>14</v>
      </c>
      <c r="F275" t="str">
        <f>_xlfn.XLOOKUP(E275,MAPEO!$B:$B,MAPEO!$C:$C,"",0)</f>
        <v>Yoga y Yoga Columpio</v>
      </c>
      <c r="G275" t="s">
        <v>56</v>
      </c>
      <c r="H275">
        <v>4</v>
      </c>
    </row>
    <row r="276" spans="1:8" ht="15.75" customHeight="1">
      <c r="A276" s="19">
        <f t="shared" si="17"/>
        <v>3</v>
      </c>
      <c r="B276" s="17">
        <v>45748</v>
      </c>
      <c r="C276" s="19" t="str">
        <f t="shared" si="15"/>
        <v>04</v>
      </c>
      <c r="D276" t="str">
        <f t="shared" si="16"/>
        <v>ABRIL</v>
      </c>
      <c r="E276" s="5" t="s">
        <v>15</v>
      </c>
      <c r="F276" t="str">
        <f>_xlfn.XLOOKUP(E276,MAPEO!$B:$B,MAPEO!$C:$C,"",0)</f>
        <v>Pole Sport</v>
      </c>
      <c r="G276" t="s">
        <v>56</v>
      </c>
      <c r="H276">
        <v>23</v>
      </c>
    </row>
    <row r="277" spans="1:8" ht="15.75" customHeight="1">
      <c r="A277" s="19">
        <f t="shared" si="17"/>
        <v>3</v>
      </c>
      <c r="B277" s="17">
        <v>45748</v>
      </c>
      <c r="C277" s="19" t="str">
        <f t="shared" si="15"/>
        <v>04</v>
      </c>
      <c r="D277" t="str">
        <f t="shared" si="16"/>
        <v>ABRIL</v>
      </c>
      <c r="E277" s="10" t="s">
        <v>16</v>
      </c>
      <c r="F277" t="str">
        <f>_xlfn.XLOOKUP(E277,MAPEO!$B:$B,MAPEO!$C:$C,"",0)</f>
        <v>Acro Kids</v>
      </c>
      <c r="G277" t="s">
        <v>56</v>
      </c>
      <c r="H277">
        <v>7</v>
      </c>
    </row>
    <row r="278" spans="1:8" ht="15.75" customHeight="1">
      <c r="A278" s="19">
        <f t="shared" si="17"/>
        <v>3</v>
      </c>
      <c r="B278" s="17">
        <v>45748</v>
      </c>
      <c r="C278" s="19" t="str">
        <f t="shared" si="15"/>
        <v>04</v>
      </c>
      <c r="D278" t="str">
        <f t="shared" si="16"/>
        <v>ABRIL</v>
      </c>
      <c r="E278" s="3" t="s">
        <v>17</v>
      </c>
      <c r="F278" t="str">
        <f>_xlfn.XLOOKUP(E278,MAPEO!$B:$B,MAPEO!$C:$C,"",0)</f>
        <v>Calistenia</v>
      </c>
      <c r="G278" t="s">
        <v>56</v>
      </c>
      <c r="H278">
        <v>2</v>
      </c>
    </row>
    <row r="279" spans="1:8" ht="15.75" customHeight="1">
      <c r="A279" s="19">
        <f t="shared" si="17"/>
        <v>3</v>
      </c>
      <c r="B279" s="17">
        <v>45748</v>
      </c>
      <c r="C279" s="19" t="str">
        <f t="shared" si="15"/>
        <v>04</v>
      </c>
      <c r="D279" t="str">
        <f t="shared" si="16"/>
        <v>ABRIL</v>
      </c>
      <c r="E279" s="22" t="s">
        <v>18</v>
      </c>
      <c r="F279" t="str">
        <f>_xlfn.XLOOKUP(E279,MAPEO!$B:$B,MAPEO!$C:$C,"",0)</f>
        <v>Movimiento Consciente</v>
      </c>
      <c r="G279" t="s">
        <v>56</v>
      </c>
      <c r="H279">
        <v>3</v>
      </c>
    </row>
    <row r="280" spans="1:8" ht="15.75" customHeight="1">
      <c r="A280" s="19">
        <f t="shared" si="17"/>
        <v>3</v>
      </c>
      <c r="B280" s="17">
        <v>45748</v>
      </c>
      <c r="C280" s="19" t="str">
        <f t="shared" si="15"/>
        <v>04</v>
      </c>
      <c r="D280" t="str">
        <f t="shared" si="16"/>
        <v>ABRIL</v>
      </c>
      <c r="E280" s="5" t="s">
        <v>19</v>
      </c>
      <c r="F280" t="str">
        <f>_xlfn.XLOOKUP(E280,MAPEO!$B:$B,MAPEO!$C:$C,"",0)</f>
        <v>Cross Traning</v>
      </c>
      <c r="G280" t="s">
        <v>56</v>
      </c>
      <c r="H280">
        <v>5</v>
      </c>
    </row>
    <row r="281" spans="1:8" ht="15.75" customHeight="1">
      <c r="A281" s="19">
        <f t="shared" si="17"/>
        <v>3</v>
      </c>
      <c r="B281" s="17">
        <v>45748</v>
      </c>
      <c r="C281" s="19" t="str">
        <f t="shared" si="15"/>
        <v>04</v>
      </c>
      <c r="D281" t="str">
        <f t="shared" si="16"/>
        <v>ABRIL</v>
      </c>
      <c r="E281" s="12" t="s">
        <v>20</v>
      </c>
      <c r="F281" t="str">
        <f>_xlfn.XLOOKUP(E281,MAPEO!$B:$B,MAPEO!$C:$C,"",0)</f>
        <v>Funcional</v>
      </c>
      <c r="G281" t="s">
        <v>56</v>
      </c>
      <c r="H281">
        <v>85</v>
      </c>
    </row>
    <row r="282" spans="1:8" ht="15.75" customHeight="1">
      <c r="A282" s="19">
        <f t="shared" si="17"/>
        <v>3</v>
      </c>
      <c r="B282" s="17">
        <v>45748</v>
      </c>
      <c r="C282" s="19" t="str">
        <f t="shared" si="15"/>
        <v>04</v>
      </c>
      <c r="D282" t="str">
        <f t="shared" si="16"/>
        <v>ABRIL</v>
      </c>
      <c r="E282" s="13" t="s">
        <v>21</v>
      </c>
      <c r="F282" t="str">
        <f>_xlfn.XLOOKUP(E282,MAPEO!$B:$B,MAPEO!$C:$C,"",0)</f>
        <v>EFA</v>
      </c>
      <c r="G282" t="s">
        <v>56</v>
      </c>
      <c r="H282">
        <v>12</v>
      </c>
    </row>
    <row r="283" spans="1:8" ht="15.75" customHeight="1">
      <c r="A283" s="19">
        <f t="shared" si="17"/>
        <v>3</v>
      </c>
      <c r="B283" s="17">
        <v>45748</v>
      </c>
      <c r="C283" s="19" t="str">
        <f t="shared" si="15"/>
        <v>04</v>
      </c>
      <c r="D283" t="str">
        <f t="shared" si="16"/>
        <v>ABRIL</v>
      </c>
      <c r="E283" s="14" t="s">
        <v>23</v>
      </c>
      <c r="F283" t="str">
        <f>_xlfn.XLOOKUP(E283,MAPEO!$B:$B,MAPEO!$C:$C,"",0)</f>
        <v>Personalizados</v>
      </c>
      <c r="G283" t="str">
        <f>_xlfn.XLOOKUP(E283,MAPEO!$B:$B,MAPEO!$D:$D,"",0)</f>
        <v>Marco</v>
      </c>
      <c r="H283">
        <v>19</v>
      </c>
    </row>
    <row r="284" spans="1:8" ht="15.75" customHeight="1">
      <c r="A284" s="19">
        <f t="shared" si="17"/>
        <v>3</v>
      </c>
      <c r="B284" s="17">
        <v>45748</v>
      </c>
      <c r="C284" s="19" t="str">
        <f t="shared" si="15"/>
        <v>04</v>
      </c>
      <c r="D284" t="str">
        <f t="shared" si="16"/>
        <v>ABRIL</v>
      </c>
      <c r="E284" s="5" t="s">
        <v>24</v>
      </c>
      <c r="F284" t="str">
        <f>_xlfn.XLOOKUP(E284,MAPEO!$B:$B,MAPEO!$C:$C,"",0)</f>
        <v>Personalizados</v>
      </c>
      <c r="G284" t="str">
        <f>_xlfn.XLOOKUP(E284,MAPEO!$B:$B,MAPEO!$D:$D,"",0)</f>
        <v>Lean</v>
      </c>
      <c r="H284">
        <v>1</v>
      </c>
    </row>
    <row r="285" spans="1:8" ht="15.75" customHeight="1">
      <c r="A285" s="19">
        <f t="shared" si="17"/>
        <v>3</v>
      </c>
      <c r="B285" s="17">
        <v>45748</v>
      </c>
      <c r="C285" s="19" t="str">
        <f t="shared" si="15"/>
        <v>04</v>
      </c>
      <c r="D285" t="str">
        <f t="shared" si="16"/>
        <v>ABRIL</v>
      </c>
      <c r="E285" s="12" t="s">
        <v>25</v>
      </c>
      <c r="F285" t="str">
        <f>_xlfn.XLOOKUP(E285,MAPEO!$B:$B,MAPEO!$C:$C,"",0)</f>
        <v>Nutricion</v>
      </c>
      <c r="G285" t="s">
        <v>56</v>
      </c>
    </row>
    <row r="286" spans="1:8" ht="15.75" customHeight="1">
      <c r="A286" s="19">
        <v>3</v>
      </c>
      <c r="B286" s="17">
        <v>45778</v>
      </c>
      <c r="C286" s="19" t="str">
        <f t="shared" si="15"/>
        <v>05</v>
      </c>
      <c r="D286" t="str">
        <f t="shared" si="16"/>
        <v>MAYO</v>
      </c>
      <c r="E286" s="1" t="s">
        <v>3</v>
      </c>
      <c r="F286" t="str">
        <f>_xlfn.XLOOKUP(E286,MAPEO!$B:$B,MAPEO!$C:$C,"",0)</f>
        <v>Calistenia</v>
      </c>
      <c r="G286" t="str">
        <f>_xlfn.XLOOKUP(E286,MAPEO!$B:$B,MAPEO!$D:$D,"",0)</f>
        <v>Edd</v>
      </c>
    </row>
    <row r="287" spans="1:8" ht="15.75" customHeight="1">
      <c r="A287" s="19">
        <f t="shared" ref="A287:A308" si="18">A286</f>
        <v>3</v>
      </c>
      <c r="B287" s="17">
        <v>45778</v>
      </c>
      <c r="C287" s="19" t="str">
        <f t="shared" si="15"/>
        <v>05</v>
      </c>
      <c r="D287" t="str">
        <f t="shared" si="16"/>
        <v>MAYO</v>
      </c>
      <c r="E287" s="2" t="s">
        <v>4</v>
      </c>
      <c r="F287" t="str">
        <f>_xlfn.XLOOKUP(E287,MAPEO!$B:$B,MAPEO!$C:$C,"",0)</f>
        <v>Calistenia</v>
      </c>
      <c r="G287" t="str">
        <f>_xlfn.XLOOKUP(E287,MAPEO!$B:$B,MAPEO!$D:$D,"",0)</f>
        <v>Martin</v>
      </c>
    </row>
    <row r="288" spans="1:8" ht="15.75" customHeight="1">
      <c r="A288" s="19">
        <f t="shared" si="18"/>
        <v>3</v>
      </c>
      <c r="B288" s="17">
        <v>45778</v>
      </c>
      <c r="C288" s="19" t="str">
        <f t="shared" si="15"/>
        <v>05</v>
      </c>
      <c r="D288" t="str">
        <f t="shared" si="16"/>
        <v>MAYO</v>
      </c>
      <c r="E288" s="3" t="s">
        <v>6</v>
      </c>
      <c r="F288" t="str">
        <f>_xlfn.XLOOKUP(E288,MAPEO!$B:$B,MAPEO!$C:$C,"",0)</f>
        <v>Calistenia</v>
      </c>
      <c r="G288" t="str">
        <f>_xlfn.XLOOKUP(E288,MAPEO!$B:$B,MAPEO!$D:$D,"",0)</f>
        <v>Agus</v>
      </c>
    </row>
    <row r="289" spans="1:7" ht="15.75" customHeight="1">
      <c r="A289" s="19">
        <f t="shared" si="18"/>
        <v>3</v>
      </c>
      <c r="B289" s="17">
        <v>45778</v>
      </c>
      <c r="C289" s="19" t="str">
        <f t="shared" si="15"/>
        <v>05</v>
      </c>
      <c r="D289" t="str">
        <f t="shared" si="16"/>
        <v>MAYO</v>
      </c>
      <c r="E289" s="4" t="s">
        <v>7</v>
      </c>
      <c r="F289" t="str">
        <f>_xlfn.XLOOKUP(E289,MAPEO!$B:$B,MAPEO!$C:$C,"",0)</f>
        <v>Calistenia</v>
      </c>
      <c r="G289" t="str">
        <f>_xlfn.XLOOKUP(E289,MAPEO!$B:$B,MAPEO!$D:$D,"",0)</f>
        <v>Lazaro</v>
      </c>
    </row>
    <row r="290" spans="1:7" ht="15.75" customHeight="1">
      <c r="A290" s="19">
        <f t="shared" si="18"/>
        <v>3</v>
      </c>
      <c r="B290" s="17">
        <v>45778</v>
      </c>
      <c r="C290" s="19" t="str">
        <f t="shared" si="15"/>
        <v>05</v>
      </c>
      <c r="D290" t="str">
        <f t="shared" si="16"/>
        <v>MAYO</v>
      </c>
      <c r="E290" s="4" t="s">
        <v>44</v>
      </c>
      <c r="F290" t="str">
        <f>_xlfn.XLOOKUP(E290,MAPEO!$B:$B,MAPEO!$C:$C,"",0)</f>
        <v>Calistenia</v>
      </c>
      <c r="G290" t="str">
        <f>_xlfn.XLOOKUP(E290,MAPEO!$B:$B,MAPEO!$D:$D,"",0)</f>
        <v>Paula</v>
      </c>
    </row>
    <row r="291" spans="1:7" ht="15.75" customHeight="1">
      <c r="A291" s="19">
        <f t="shared" si="18"/>
        <v>3</v>
      </c>
      <c r="B291" s="17">
        <v>45778</v>
      </c>
      <c r="C291" s="19" t="str">
        <f t="shared" si="15"/>
        <v>05</v>
      </c>
      <c r="D291" t="str">
        <f t="shared" si="16"/>
        <v>MAYO</v>
      </c>
      <c r="E291" s="5" t="s">
        <v>8</v>
      </c>
      <c r="F291" t="str">
        <f>_xlfn.XLOOKUP(E291,MAPEO!$B:$B,MAPEO!$C:$C,"",0)</f>
        <v>Boxeo</v>
      </c>
      <c r="G291" t="str">
        <f>_xlfn.XLOOKUP(E291,MAPEO!$B:$B,MAPEO!$D:$D,"",0)</f>
        <v>Mariano</v>
      </c>
    </row>
    <row r="292" spans="1:7" ht="15.75" customHeight="1">
      <c r="A292" s="19">
        <f t="shared" si="18"/>
        <v>3</v>
      </c>
      <c r="B292" s="17">
        <v>45778</v>
      </c>
      <c r="C292" s="19" t="str">
        <f t="shared" si="15"/>
        <v>05</v>
      </c>
      <c r="D292" t="str">
        <f t="shared" si="16"/>
        <v>MAYO</v>
      </c>
      <c r="E292" s="6" t="s">
        <v>9</v>
      </c>
      <c r="F292" t="str">
        <f>_xlfn.XLOOKUP(E292,MAPEO!$B:$B,MAPEO!$C:$C,"",0)</f>
        <v>Boxeo</v>
      </c>
      <c r="G292" t="str">
        <f>_xlfn.XLOOKUP(E292,MAPEO!$B:$B,MAPEO!$D:$D,"",0)</f>
        <v>tito</v>
      </c>
    </row>
    <row r="293" spans="1:7" ht="15.75" customHeight="1">
      <c r="A293" s="19">
        <f t="shared" si="18"/>
        <v>3</v>
      </c>
      <c r="B293" s="17">
        <v>45778</v>
      </c>
      <c r="C293" s="19" t="str">
        <f t="shared" si="15"/>
        <v>05</v>
      </c>
      <c r="D293" t="str">
        <f t="shared" si="16"/>
        <v>MAYO</v>
      </c>
      <c r="E293" s="1" t="s">
        <v>10</v>
      </c>
      <c r="F293" t="str">
        <f>_xlfn.XLOOKUP(E293,MAPEO!$B:$B,MAPEO!$C:$C,"",0)</f>
        <v xml:space="preserve">MMA </v>
      </c>
      <c r="G293" t="s">
        <v>56</v>
      </c>
    </row>
    <row r="294" spans="1:7" ht="15.75" customHeight="1">
      <c r="A294" s="19">
        <f t="shared" si="18"/>
        <v>3</v>
      </c>
      <c r="B294" s="17">
        <v>45778</v>
      </c>
      <c r="C294" s="19" t="str">
        <f t="shared" si="15"/>
        <v>05</v>
      </c>
      <c r="D294" t="str">
        <f t="shared" si="16"/>
        <v>MAYO</v>
      </c>
      <c r="E294" s="7" t="s">
        <v>11</v>
      </c>
      <c r="F294" t="str">
        <f>_xlfn.XLOOKUP(E294,MAPEO!$B:$B,MAPEO!$C:$C,"",0)</f>
        <v>Karate</v>
      </c>
      <c r="G294" t="s">
        <v>56</v>
      </c>
    </row>
    <row r="295" spans="1:7" ht="15.75" customHeight="1">
      <c r="A295" s="19">
        <f t="shared" si="18"/>
        <v>3</v>
      </c>
      <c r="B295" s="17">
        <v>45778</v>
      </c>
      <c r="C295" s="19" t="str">
        <f t="shared" si="15"/>
        <v>05</v>
      </c>
      <c r="D295" t="str">
        <f t="shared" si="16"/>
        <v>MAYO</v>
      </c>
      <c r="E295" s="12" t="s">
        <v>22</v>
      </c>
      <c r="F295" t="str">
        <f>_xlfn.XLOOKUP(E295,MAPEO!$B:$B,MAPEO!$C:$C,"",0)</f>
        <v>Taekwondo</v>
      </c>
      <c r="G295" t="s">
        <v>56</v>
      </c>
    </row>
    <row r="296" spans="1:7" ht="15.75" customHeight="1">
      <c r="A296" s="19">
        <f t="shared" si="18"/>
        <v>3</v>
      </c>
      <c r="B296" s="17">
        <v>45778</v>
      </c>
      <c r="C296" s="19" t="str">
        <f t="shared" si="15"/>
        <v>05</v>
      </c>
      <c r="D296" t="str">
        <f t="shared" si="16"/>
        <v>MAYO</v>
      </c>
      <c r="E296" s="3" t="s">
        <v>12</v>
      </c>
      <c r="F296" t="str">
        <f>_xlfn.XLOOKUP(E296,MAPEO!$B:$B,MAPEO!$C:$C,"",0)</f>
        <v>Tela</v>
      </c>
      <c r="G296" t="s">
        <v>56</v>
      </c>
    </row>
    <row r="297" spans="1:7" ht="15.75" customHeight="1">
      <c r="A297" s="19">
        <f t="shared" si="18"/>
        <v>3</v>
      </c>
      <c r="B297" s="17">
        <v>45778</v>
      </c>
      <c r="C297" s="19" t="str">
        <f t="shared" si="15"/>
        <v>05</v>
      </c>
      <c r="D297" t="str">
        <f t="shared" si="16"/>
        <v>MAYO</v>
      </c>
      <c r="E297" s="8" t="s">
        <v>13</v>
      </c>
      <c r="F297" t="str">
        <f>_xlfn.XLOOKUP(E297,MAPEO!$B:$B,MAPEO!$C:$C,"",0)</f>
        <v>Lyra</v>
      </c>
      <c r="G297" t="s">
        <v>56</v>
      </c>
    </row>
    <row r="298" spans="1:7" ht="15.75" customHeight="1">
      <c r="A298" s="19">
        <f t="shared" si="18"/>
        <v>3</v>
      </c>
      <c r="B298" s="17">
        <v>45778</v>
      </c>
      <c r="C298" s="19" t="str">
        <f t="shared" si="15"/>
        <v>05</v>
      </c>
      <c r="D298" t="str">
        <f t="shared" si="16"/>
        <v>MAYO</v>
      </c>
      <c r="E298" s="13" t="s">
        <v>14</v>
      </c>
      <c r="F298" t="str">
        <f>_xlfn.XLOOKUP(E298,MAPEO!$B:$B,MAPEO!$C:$C,"",0)</f>
        <v>Yoga y Yoga Columpio</v>
      </c>
      <c r="G298" t="s">
        <v>56</v>
      </c>
    </row>
    <row r="299" spans="1:7" ht="15.75" customHeight="1">
      <c r="A299" s="19">
        <f t="shared" si="18"/>
        <v>3</v>
      </c>
      <c r="B299" s="17">
        <v>45778</v>
      </c>
      <c r="C299" s="19" t="str">
        <f t="shared" si="15"/>
        <v>05</v>
      </c>
      <c r="D299" t="str">
        <f t="shared" si="16"/>
        <v>MAYO</v>
      </c>
      <c r="E299" s="25" t="s">
        <v>15</v>
      </c>
      <c r="F299" t="str">
        <f>_xlfn.XLOOKUP(E299,MAPEO!$B:$B,MAPEO!$C:$C,"",0)</f>
        <v>Pole Sport</v>
      </c>
      <c r="G299" t="s">
        <v>56</v>
      </c>
    </row>
    <row r="300" spans="1:7" ht="15.75" customHeight="1">
      <c r="A300" s="19">
        <f t="shared" si="18"/>
        <v>3</v>
      </c>
      <c r="B300" s="17">
        <v>45778</v>
      </c>
      <c r="C300" s="19" t="str">
        <f t="shared" si="15"/>
        <v>05</v>
      </c>
      <c r="D300" t="str">
        <f t="shared" si="16"/>
        <v>MAYO</v>
      </c>
      <c r="E300" s="10" t="s">
        <v>16</v>
      </c>
      <c r="F300" t="str">
        <f>_xlfn.XLOOKUP(E300,MAPEO!$B:$B,MAPEO!$C:$C,"",0)</f>
        <v>Acro Kids</v>
      </c>
      <c r="G300" t="s">
        <v>56</v>
      </c>
    </row>
    <row r="301" spans="1:7" ht="15.75" customHeight="1">
      <c r="A301" s="19">
        <f t="shared" si="18"/>
        <v>3</v>
      </c>
      <c r="B301" s="17">
        <v>45778</v>
      </c>
      <c r="C301" s="19" t="str">
        <f t="shared" si="15"/>
        <v>05</v>
      </c>
      <c r="D301" t="str">
        <f t="shared" si="16"/>
        <v>MAYO</v>
      </c>
      <c r="E301" s="3" t="s">
        <v>17</v>
      </c>
      <c r="F301" t="str">
        <f>_xlfn.XLOOKUP(E301,MAPEO!$B:$B,MAPEO!$C:$C,"",0)</f>
        <v>Calistenia</v>
      </c>
      <c r="G301" t="s">
        <v>56</v>
      </c>
    </row>
    <row r="302" spans="1:7" ht="15.75" customHeight="1">
      <c r="A302" s="19">
        <f t="shared" si="18"/>
        <v>3</v>
      </c>
      <c r="B302" s="17">
        <v>45778</v>
      </c>
      <c r="C302" s="19" t="str">
        <f t="shared" si="15"/>
        <v>05</v>
      </c>
      <c r="D302" t="str">
        <f t="shared" si="16"/>
        <v>MAYO</v>
      </c>
      <c r="E302" s="11" t="s">
        <v>18</v>
      </c>
      <c r="F302" t="str">
        <f>_xlfn.XLOOKUP(E302,MAPEO!$B:$B,MAPEO!$C:$C,"",0)</f>
        <v>Movimiento Consciente</v>
      </c>
      <c r="G302" t="s">
        <v>56</v>
      </c>
    </row>
    <row r="303" spans="1:7" ht="15.75" customHeight="1">
      <c r="A303" s="19">
        <f t="shared" si="18"/>
        <v>3</v>
      </c>
      <c r="B303" s="17">
        <v>45778</v>
      </c>
      <c r="C303" s="19" t="str">
        <f t="shared" si="15"/>
        <v>05</v>
      </c>
      <c r="D303" t="str">
        <f t="shared" si="16"/>
        <v>MAYO</v>
      </c>
      <c r="E303" s="5" t="s">
        <v>19</v>
      </c>
      <c r="F303" t="str">
        <f>_xlfn.XLOOKUP(E303,MAPEO!$B:$B,MAPEO!$C:$C,"",0)</f>
        <v>Cross Traning</v>
      </c>
      <c r="G303" t="s">
        <v>56</v>
      </c>
    </row>
    <row r="304" spans="1:7" ht="15.75" customHeight="1">
      <c r="A304" s="19">
        <f t="shared" si="18"/>
        <v>3</v>
      </c>
      <c r="B304" s="17">
        <v>45778</v>
      </c>
      <c r="C304" s="19" t="str">
        <f t="shared" si="15"/>
        <v>05</v>
      </c>
      <c r="D304" t="str">
        <f t="shared" si="16"/>
        <v>MAYO</v>
      </c>
      <c r="E304" s="12" t="s">
        <v>20</v>
      </c>
      <c r="F304" t="str">
        <f>_xlfn.XLOOKUP(E304,MAPEO!$B:$B,MAPEO!$C:$C,"",0)</f>
        <v>Funcional</v>
      </c>
      <c r="G304" t="s">
        <v>56</v>
      </c>
    </row>
    <row r="305" spans="1:7" ht="15.75" customHeight="1">
      <c r="A305" s="19">
        <f t="shared" si="18"/>
        <v>3</v>
      </c>
      <c r="B305" s="17">
        <v>45778</v>
      </c>
      <c r="C305" s="19" t="str">
        <f t="shared" si="15"/>
        <v>05</v>
      </c>
      <c r="D305" t="str">
        <f t="shared" si="16"/>
        <v>MAYO</v>
      </c>
      <c r="E305" s="13" t="s">
        <v>21</v>
      </c>
      <c r="F305" t="str">
        <f>_xlfn.XLOOKUP(E305,MAPEO!$B:$B,MAPEO!$C:$C,"",0)</f>
        <v>EFA</v>
      </c>
      <c r="G305" t="s">
        <v>56</v>
      </c>
    </row>
    <row r="306" spans="1:7" ht="15.75" customHeight="1">
      <c r="A306" s="19">
        <f t="shared" si="18"/>
        <v>3</v>
      </c>
      <c r="B306" s="17">
        <v>45778</v>
      </c>
      <c r="C306" s="19" t="str">
        <f t="shared" si="15"/>
        <v>05</v>
      </c>
      <c r="D306" t="str">
        <f t="shared" si="16"/>
        <v>MAYO</v>
      </c>
      <c r="E306" s="14" t="s">
        <v>23</v>
      </c>
      <c r="F306" t="str">
        <f>_xlfn.XLOOKUP(E306,MAPEO!$B:$B,MAPEO!$C:$C,"",0)</f>
        <v>Personalizados</v>
      </c>
      <c r="G306" t="str">
        <f>_xlfn.XLOOKUP(E306,MAPEO!$B:$B,MAPEO!$D:$D,"",0)</f>
        <v>Marco</v>
      </c>
    </row>
    <row r="307" spans="1:7" ht="15.75" customHeight="1">
      <c r="A307" s="19">
        <f t="shared" si="18"/>
        <v>3</v>
      </c>
      <c r="B307" s="17">
        <v>45778</v>
      </c>
      <c r="C307" s="19" t="str">
        <f t="shared" si="15"/>
        <v>05</v>
      </c>
      <c r="D307" t="str">
        <f t="shared" si="16"/>
        <v>MAYO</v>
      </c>
      <c r="E307" s="5" t="s">
        <v>24</v>
      </c>
      <c r="F307" t="str">
        <f>_xlfn.XLOOKUP(E307,MAPEO!$B:$B,MAPEO!$C:$C,"",0)</f>
        <v>Personalizados</v>
      </c>
      <c r="G307" t="str">
        <f>_xlfn.XLOOKUP(E307,MAPEO!$B:$B,MAPEO!$D:$D,"",0)</f>
        <v>Lean</v>
      </c>
    </row>
    <row r="308" spans="1:7" ht="15.75" customHeight="1">
      <c r="A308" s="19">
        <f t="shared" si="18"/>
        <v>3</v>
      </c>
      <c r="B308" s="17">
        <v>45778</v>
      </c>
      <c r="C308" s="19" t="str">
        <f t="shared" si="15"/>
        <v>05</v>
      </c>
      <c r="D308" t="str">
        <f t="shared" si="16"/>
        <v>MAYO</v>
      </c>
      <c r="E308" s="12" t="s">
        <v>25</v>
      </c>
      <c r="F308" t="str">
        <f>_xlfn.XLOOKUP(E308,MAPEO!$B:$B,MAPEO!$C:$C,"",0)</f>
        <v>Nutricion</v>
      </c>
      <c r="G308" t="s">
        <v>56</v>
      </c>
    </row>
    <row r="309" spans="1:7" ht="15.75" customHeight="1">
      <c r="A309" s="19">
        <v>3</v>
      </c>
      <c r="B309" s="17">
        <v>45809</v>
      </c>
      <c r="C309" s="19" t="str">
        <f t="shared" si="15"/>
        <v>06</v>
      </c>
      <c r="D309" t="str">
        <f t="shared" si="16"/>
        <v>JUNIO</v>
      </c>
      <c r="E309" s="1" t="s">
        <v>3</v>
      </c>
      <c r="F309" t="str">
        <f>_xlfn.XLOOKUP(E309,MAPEO!$B:$B,MAPEO!$C:$C,"",0)</f>
        <v>Calistenia</v>
      </c>
      <c r="G309" t="str">
        <f>_xlfn.XLOOKUP(E309,MAPEO!$B:$B,MAPEO!$D:$D,"",0)</f>
        <v>Edd</v>
      </c>
    </row>
    <row r="310" spans="1:7" ht="15.75" customHeight="1">
      <c r="A310" s="19">
        <f t="shared" ref="A310:A331" si="19">A309</f>
        <v>3</v>
      </c>
      <c r="B310" s="17">
        <v>45809</v>
      </c>
      <c r="C310" s="19" t="str">
        <f t="shared" si="15"/>
        <v>06</v>
      </c>
      <c r="D310" t="str">
        <f t="shared" si="16"/>
        <v>JUNIO</v>
      </c>
      <c r="E310" s="2" t="s">
        <v>4</v>
      </c>
      <c r="F310" t="str">
        <f>_xlfn.XLOOKUP(E310,MAPEO!$B:$B,MAPEO!$C:$C,"",0)</f>
        <v>Calistenia</v>
      </c>
      <c r="G310" t="str">
        <f>_xlfn.XLOOKUP(E310,MAPEO!$B:$B,MAPEO!$D:$D,"",0)</f>
        <v>Martin</v>
      </c>
    </row>
    <row r="311" spans="1:7" ht="15.75" customHeight="1">
      <c r="A311" s="19">
        <f t="shared" si="19"/>
        <v>3</v>
      </c>
      <c r="B311" s="17">
        <v>45809</v>
      </c>
      <c r="C311" s="19" t="str">
        <f t="shared" si="15"/>
        <v>06</v>
      </c>
      <c r="D311" t="str">
        <f t="shared" si="16"/>
        <v>JUNIO</v>
      </c>
      <c r="E311" s="3" t="s">
        <v>6</v>
      </c>
      <c r="F311" t="str">
        <f>_xlfn.XLOOKUP(E311,MAPEO!$B:$B,MAPEO!$C:$C,"",0)</f>
        <v>Calistenia</v>
      </c>
      <c r="G311" t="str">
        <f>_xlfn.XLOOKUP(E311,MAPEO!$B:$B,MAPEO!$D:$D,"",0)</f>
        <v>Agus</v>
      </c>
    </row>
    <row r="312" spans="1:7" ht="15.75" customHeight="1">
      <c r="A312" s="19">
        <f t="shared" si="19"/>
        <v>3</v>
      </c>
      <c r="B312" s="17">
        <v>45809</v>
      </c>
      <c r="C312" s="19" t="str">
        <f t="shared" si="15"/>
        <v>06</v>
      </c>
      <c r="D312" t="str">
        <f t="shared" si="16"/>
        <v>JUNIO</v>
      </c>
      <c r="E312" s="4" t="s">
        <v>7</v>
      </c>
      <c r="F312" t="str">
        <f>_xlfn.XLOOKUP(E312,MAPEO!$B:$B,MAPEO!$C:$C,"",0)</f>
        <v>Calistenia</v>
      </c>
      <c r="G312" t="str">
        <f>_xlfn.XLOOKUP(E312,MAPEO!$B:$B,MAPEO!$D:$D,"",0)</f>
        <v>Lazaro</v>
      </c>
    </row>
    <row r="313" spans="1:7" ht="15.75" customHeight="1">
      <c r="A313" s="19">
        <f t="shared" si="19"/>
        <v>3</v>
      </c>
      <c r="B313" s="17">
        <v>45809</v>
      </c>
      <c r="C313" s="19" t="str">
        <f t="shared" si="15"/>
        <v>06</v>
      </c>
      <c r="D313" t="str">
        <f t="shared" si="16"/>
        <v>JUNIO</v>
      </c>
      <c r="E313" s="4" t="s">
        <v>44</v>
      </c>
      <c r="F313" t="str">
        <f>_xlfn.XLOOKUP(E313,MAPEO!$B:$B,MAPEO!$C:$C,"",0)</f>
        <v>Calistenia</v>
      </c>
      <c r="G313" t="str">
        <f>_xlfn.XLOOKUP(E313,MAPEO!$B:$B,MAPEO!$D:$D,"",0)</f>
        <v>Paula</v>
      </c>
    </row>
    <row r="314" spans="1:7" ht="15.75" customHeight="1">
      <c r="A314" s="19">
        <f t="shared" si="19"/>
        <v>3</v>
      </c>
      <c r="B314" s="17">
        <v>45809</v>
      </c>
      <c r="C314" s="19" t="str">
        <f t="shared" si="15"/>
        <v>06</v>
      </c>
      <c r="D314" t="str">
        <f t="shared" si="16"/>
        <v>JUNIO</v>
      </c>
      <c r="E314" s="5" t="s">
        <v>8</v>
      </c>
      <c r="F314" t="str">
        <f>_xlfn.XLOOKUP(E314,MAPEO!$B:$B,MAPEO!$C:$C,"",0)</f>
        <v>Boxeo</v>
      </c>
      <c r="G314" t="str">
        <f>_xlfn.XLOOKUP(E314,MAPEO!$B:$B,MAPEO!$D:$D,"",0)</f>
        <v>Mariano</v>
      </c>
    </row>
    <row r="315" spans="1:7" ht="15.75" customHeight="1">
      <c r="A315" s="19">
        <f t="shared" si="19"/>
        <v>3</v>
      </c>
      <c r="B315" s="17">
        <v>45809</v>
      </c>
      <c r="C315" s="19" t="str">
        <f t="shared" si="15"/>
        <v>06</v>
      </c>
      <c r="D315" t="str">
        <f t="shared" si="16"/>
        <v>JUNIO</v>
      </c>
      <c r="E315" s="6" t="s">
        <v>9</v>
      </c>
      <c r="F315" t="str">
        <f>_xlfn.XLOOKUP(E315,MAPEO!$B:$B,MAPEO!$C:$C,"",0)</f>
        <v>Boxeo</v>
      </c>
      <c r="G315" t="str">
        <f>_xlfn.XLOOKUP(E315,MAPEO!$B:$B,MAPEO!$D:$D,"",0)</f>
        <v>tito</v>
      </c>
    </row>
    <row r="316" spans="1:7" ht="15.75" customHeight="1">
      <c r="A316" s="19">
        <f t="shared" si="19"/>
        <v>3</v>
      </c>
      <c r="B316" s="17">
        <v>45809</v>
      </c>
      <c r="C316" s="19" t="str">
        <f t="shared" si="15"/>
        <v>06</v>
      </c>
      <c r="D316" t="str">
        <f t="shared" si="16"/>
        <v>JUNIO</v>
      </c>
      <c r="E316" s="1" t="s">
        <v>10</v>
      </c>
      <c r="F316" t="str">
        <f>_xlfn.XLOOKUP(E316,MAPEO!$B:$B,MAPEO!$C:$C,"",0)</f>
        <v xml:space="preserve">MMA </v>
      </c>
      <c r="G316" t="s">
        <v>56</v>
      </c>
    </row>
    <row r="317" spans="1:7" ht="15.75" customHeight="1">
      <c r="A317" s="19">
        <f t="shared" si="19"/>
        <v>3</v>
      </c>
      <c r="B317" s="17">
        <v>45809</v>
      </c>
      <c r="C317" s="19" t="str">
        <f t="shared" si="15"/>
        <v>06</v>
      </c>
      <c r="D317" t="str">
        <f t="shared" si="16"/>
        <v>JUNIO</v>
      </c>
      <c r="E317" s="7" t="s">
        <v>11</v>
      </c>
      <c r="F317" t="str">
        <f>_xlfn.XLOOKUP(E317,MAPEO!$B:$B,MAPEO!$C:$C,"",0)</f>
        <v>Karate</v>
      </c>
      <c r="G317" t="s">
        <v>56</v>
      </c>
    </row>
    <row r="318" spans="1:7" ht="15.75" customHeight="1">
      <c r="A318" s="19">
        <f t="shared" si="19"/>
        <v>3</v>
      </c>
      <c r="B318" s="17">
        <v>45809</v>
      </c>
      <c r="C318" s="19" t="str">
        <f t="shared" si="15"/>
        <v>06</v>
      </c>
      <c r="D318" t="str">
        <f t="shared" si="16"/>
        <v>JUNIO</v>
      </c>
      <c r="E318" s="12" t="s">
        <v>22</v>
      </c>
      <c r="F318" t="str">
        <f>_xlfn.XLOOKUP(E318,MAPEO!$B:$B,MAPEO!$C:$C,"",0)</f>
        <v>Taekwondo</v>
      </c>
      <c r="G318" t="s">
        <v>56</v>
      </c>
    </row>
    <row r="319" spans="1:7" ht="15.75" customHeight="1">
      <c r="A319" s="19">
        <f t="shared" si="19"/>
        <v>3</v>
      </c>
      <c r="B319" s="17">
        <v>45809</v>
      </c>
      <c r="C319" s="19" t="str">
        <f t="shared" si="15"/>
        <v>06</v>
      </c>
      <c r="D319" t="str">
        <f t="shared" si="16"/>
        <v>JUNIO</v>
      </c>
      <c r="E319" s="3" t="s">
        <v>12</v>
      </c>
      <c r="F319" t="str">
        <f>_xlfn.XLOOKUP(E319,MAPEO!$B:$B,MAPEO!$C:$C,"",0)</f>
        <v>Tela</v>
      </c>
      <c r="G319" t="s">
        <v>56</v>
      </c>
    </row>
    <row r="320" spans="1:7" ht="15.75" customHeight="1">
      <c r="A320" s="19">
        <f t="shared" si="19"/>
        <v>3</v>
      </c>
      <c r="B320" s="17">
        <v>45809</v>
      </c>
      <c r="C320" s="19" t="str">
        <f t="shared" si="15"/>
        <v>06</v>
      </c>
      <c r="D320" t="str">
        <f t="shared" si="16"/>
        <v>JUNIO</v>
      </c>
      <c r="E320" s="8" t="s">
        <v>13</v>
      </c>
      <c r="F320" t="str">
        <f>_xlfn.XLOOKUP(E320,MAPEO!$B:$B,MAPEO!$C:$C,"",0)</f>
        <v>Lyra</v>
      </c>
      <c r="G320" t="s">
        <v>56</v>
      </c>
    </row>
    <row r="321" spans="1:8" ht="15.75" customHeight="1">
      <c r="A321" s="19">
        <f t="shared" si="19"/>
        <v>3</v>
      </c>
      <c r="B321" s="17">
        <v>45809</v>
      </c>
      <c r="C321" s="19" t="str">
        <f t="shared" si="15"/>
        <v>06</v>
      </c>
      <c r="D321" t="str">
        <f t="shared" si="16"/>
        <v>JUNIO</v>
      </c>
      <c r="E321" s="9" t="s">
        <v>14</v>
      </c>
      <c r="F321" t="str">
        <f>_xlfn.XLOOKUP(E321,MAPEO!$B:$B,MAPEO!$C:$C,"",0)</f>
        <v>Yoga y Yoga Columpio</v>
      </c>
      <c r="G321" t="s">
        <v>56</v>
      </c>
    </row>
    <row r="322" spans="1:8" ht="15.75" customHeight="1">
      <c r="A322" s="19">
        <f t="shared" si="19"/>
        <v>3</v>
      </c>
      <c r="B322" s="17">
        <v>45809</v>
      </c>
      <c r="C322" s="19" t="str">
        <f t="shared" ref="C322:C385" si="20">TEXT(B322,"mm")</f>
        <v>06</v>
      </c>
      <c r="D322" t="str">
        <f t="shared" ref="D322:D385" si="21">UPPER(TEXT(B322,"mmmm"))</f>
        <v>JUNIO</v>
      </c>
      <c r="E322" s="5" t="s">
        <v>15</v>
      </c>
      <c r="F322" t="str">
        <f>_xlfn.XLOOKUP(E322,MAPEO!$B:$B,MAPEO!$C:$C,"",0)</f>
        <v>Pole Sport</v>
      </c>
      <c r="G322" t="s">
        <v>56</v>
      </c>
    </row>
    <row r="323" spans="1:8" ht="15.75" customHeight="1">
      <c r="A323" s="19">
        <f t="shared" si="19"/>
        <v>3</v>
      </c>
      <c r="B323" s="17">
        <v>45809</v>
      </c>
      <c r="C323" s="19" t="str">
        <f t="shared" si="20"/>
        <v>06</v>
      </c>
      <c r="D323" t="str">
        <f t="shared" si="21"/>
        <v>JUNIO</v>
      </c>
      <c r="E323" s="10" t="s">
        <v>16</v>
      </c>
      <c r="F323" t="str">
        <f>_xlfn.XLOOKUP(E323,MAPEO!$B:$B,MAPEO!$C:$C,"",0)</f>
        <v>Acro Kids</v>
      </c>
      <c r="G323" t="s">
        <v>56</v>
      </c>
    </row>
    <row r="324" spans="1:8" ht="15.75" customHeight="1">
      <c r="A324" s="19">
        <f t="shared" si="19"/>
        <v>3</v>
      </c>
      <c r="B324" s="17">
        <v>45809</v>
      </c>
      <c r="C324" s="19" t="str">
        <f t="shared" si="20"/>
        <v>06</v>
      </c>
      <c r="D324" t="str">
        <f t="shared" si="21"/>
        <v>JUNIO</v>
      </c>
      <c r="E324" s="3" t="s">
        <v>17</v>
      </c>
      <c r="F324" t="str">
        <f>_xlfn.XLOOKUP(E324,MAPEO!$B:$B,MAPEO!$C:$C,"",0)</f>
        <v>Calistenia</v>
      </c>
      <c r="G324" t="s">
        <v>56</v>
      </c>
    </row>
    <row r="325" spans="1:8" ht="15.75" customHeight="1">
      <c r="A325" s="19">
        <f t="shared" si="19"/>
        <v>3</v>
      </c>
      <c r="B325" s="17">
        <v>45809</v>
      </c>
      <c r="C325" s="19" t="str">
        <f t="shared" si="20"/>
        <v>06</v>
      </c>
      <c r="D325" t="str">
        <f t="shared" si="21"/>
        <v>JUNIO</v>
      </c>
      <c r="E325" s="11" t="s">
        <v>18</v>
      </c>
      <c r="F325" t="str">
        <f>_xlfn.XLOOKUP(E325,MAPEO!$B:$B,MAPEO!$C:$C,"",0)</f>
        <v>Movimiento Consciente</v>
      </c>
      <c r="G325" t="s">
        <v>56</v>
      </c>
    </row>
    <row r="326" spans="1:8" ht="15.75" customHeight="1">
      <c r="A326" s="19">
        <f t="shared" si="19"/>
        <v>3</v>
      </c>
      <c r="B326" s="17">
        <v>45809</v>
      </c>
      <c r="C326" s="19" t="str">
        <f t="shared" si="20"/>
        <v>06</v>
      </c>
      <c r="D326" t="str">
        <f t="shared" si="21"/>
        <v>JUNIO</v>
      </c>
      <c r="E326" s="5" t="s">
        <v>19</v>
      </c>
      <c r="F326" t="str">
        <f>_xlfn.XLOOKUP(E326,MAPEO!$B:$B,MAPEO!$C:$C,"",0)</f>
        <v>Cross Traning</v>
      </c>
      <c r="G326" t="s">
        <v>56</v>
      </c>
    </row>
    <row r="327" spans="1:8" ht="15.75" customHeight="1">
      <c r="A327" s="19">
        <f t="shared" si="19"/>
        <v>3</v>
      </c>
      <c r="B327" s="17">
        <v>45809</v>
      </c>
      <c r="C327" s="19" t="str">
        <f t="shared" si="20"/>
        <v>06</v>
      </c>
      <c r="D327" t="str">
        <f t="shared" si="21"/>
        <v>JUNIO</v>
      </c>
      <c r="E327" s="12" t="s">
        <v>20</v>
      </c>
      <c r="F327" t="str">
        <f>_xlfn.XLOOKUP(E327,MAPEO!$B:$B,MAPEO!$C:$C,"",0)</f>
        <v>Funcional</v>
      </c>
      <c r="G327" t="s">
        <v>56</v>
      </c>
    </row>
    <row r="328" spans="1:8" ht="15.75" customHeight="1">
      <c r="A328" s="19">
        <f t="shared" si="19"/>
        <v>3</v>
      </c>
      <c r="B328" s="17">
        <v>45809</v>
      </c>
      <c r="C328" s="19" t="str">
        <f t="shared" si="20"/>
        <v>06</v>
      </c>
      <c r="D328" t="str">
        <f t="shared" si="21"/>
        <v>JUNIO</v>
      </c>
      <c r="E328" s="13" t="s">
        <v>21</v>
      </c>
      <c r="F328" t="str">
        <f>_xlfn.XLOOKUP(E328,MAPEO!$B:$B,MAPEO!$C:$C,"",0)</f>
        <v>EFA</v>
      </c>
      <c r="G328" t="s">
        <v>56</v>
      </c>
    </row>
    <row r="329" spans="1:8" ht="15.75" customHeight="1">
      <c r="A329" s="19">
        <f t="shared" si="19"/>
        <v>3</v>
      </c>
      <c r="B329" s="17">
        <v>45809</v>
      </c>
      <c r="C329" s="19" t="str">
        <f t="shared" si="20"/>
        <v>06</v>
      </c>
      <c r="D329" t="str">
        <f t="shared" si="21"/>
        <v>JUNIO</v>
      </c>
      <c r="E329" s="14" t="s">
        <v>23</v>
      </c>
      <c r="F329" t="str">
        <f>_xlfn.XLOOKUP(E329,MAPEO!$B:$B,MAPEO!$C:$C,"",0)</f>
        <v>Personalizados</v>
      </c>
      <c r="G329" t="str">
        <f>_xlfn.XLOOKUP(E329,MAPEO!$B:$B,MAPEO!$D:$D,"",0)</f>
        <v>Marco</v>
      </c>
    </row>
    <row r="330" spans="1:8" ht="15.75" customHeight="1">
      <c r="A330" s="19">
        <f t="shared" si="19"/>
        <v>3</v>
      </c>
      <c r="B330" s="17">
        <v>45809</v>
      </c>
      <c r="C330" s="19" t="str">
        <f t="shared" si="20"/>
        <v>06</v>
      </c>
      <c r="D330" t="str">
        <f t="shared" si="21"/>
        <v>JUNIO</v>
      </c>
      <c r="E330" s="5" t="s">
        <v>24</v>
      </c>
      <c r="F330" t="str">
        <f>_xlfn.XLOOKUP(E330,MAPEO!$B:$B,MAPEO!$C:$C,"",0)</f>
        <v>Personalizados</v>
      </c>
      <c r="G330" t="str">
        <f>_xlfn.XLOOKUP(E330,MAPEO!$B:$B,MAPEO!$D:$D,"",0)</f>
        <v>Lean</v>
      </c>
    </row>
    <row r="331" spans="1:8" ht="15.75" customHeight="1">
      <c r="A331" s="19">
        <f t="shared" si="19"/>
        <v>3</v>
      </c>
      <c r="B331" s="17">
        <v>45809</v>
      </c>
      <c r="C331" s="19" t="str">
        <f t="shared" si="20"/>
        <v>06</v>
      </c>
      <c r="D331" t="str">
        <f t="shared" si="21"/>
        <v>JUNIO</v>
      </c>
      <c r="E331" s="12" t="s">
        <v>25</v>
      </c>
      <c r="F331" t="str">
        <f>_xlfn.XLOOKUP(E331,MAPEO!$B:$B,MAPEO!$C:$C,"",0)</f>
        <v>Nutricion</v>
      </c>
      <c r="G331" t="s">
        <v>56</v>
      </c>
    </row>
    <row r="332" spans="1:8" ht="15.75" customHeight="1">
      <c r="A332" s="19">
        <v>4</v>
      </c>
      <c r="B332" s="17">
        <v>45689</v>
      </c>
      <c r="C332" s="19" t="str">
        <f t="shared" si="20"/>
        <v>02</v>
      </c>
      <c r="D332" t="str">
        <f t="shared" si="21"/>
        <v>FEBRERO</v>
      </c>
      <c r="E332" s="1" t="s">
        <v>3</v>
      </c>
      <c r="F332" t="str">
        <f>_xlfn.XLOOKUP(E332,MAPEO!$B:$B,MAPEO!$C:$C,"",0)</f>
        <v>Calistenia</v>
      </c>
      <c r="G332" t="str">
        <f>_xlfn.XLOOKUP(E332,MAPEO!$B:$B,MAPEO!$D:$D,"",0)</f>
        <v>Edd</v>
      </c>
      <c r="H332">
        <v>28</v>
      </c>
    </row>
    <row r="333" spans="1:8" ht="15.75" customHeight="1">
      <c r="A333" s="19">
        <v>4</v>
      </c>
      <c r="B333" s="17">
        <v>45689</v>
      </c>
      <c r="C333" s="19" t="str">
        <f t="shared" si="20"/>
        <v>02</v>
      </c>
      <c r="D333" t="str">
        <f t="shared" si="21"/>
        <v>FEBRERO</v>
      </c>
      <c r="E333" s="2" t="s">
        <v>4</v>
      </c>
      <c r="F333" t="str">
        <f>_xlfn.XLOOKUP(E333,MAPEO!$B:$B,MAPEO!$C:$C,"",0)</f>
        <v>Calistenia</v>
      </c>
      <c r="G333" t="str">
        <f>_xlfn.XLOOKUP(E333,MAPEO!$B:$B,MAPEO!$D:$D,"",0)</f>
        <v>Martin</v>
      </c>
      <c r="H333">
        <v>36</v>
      </c>
    </row>
    <row r="334" spans="1:8" ht="15.75" customHeight="1">
      <c r="A334" s="19">
        <v>4</v>
      </c>
      <c r="B334" s="17">
        <v>45689</v>
      </c>
      <c r="C334" s="19" t="str">
        <f t="shared" si="20"/>
        <v>02</v>
      </c>
      <c r="D334" t="str">
        <f t="shared" si="21"/>
        <v>FEBRERO</v>
      </c>
      <c r="E334" s="3" t="s">
        <v>6</v>
      </c>
      <c r="F334" t="str">
        <f>_xlfn.XLOOKUP(E334,MAPEO!$B:$B,MAPEO!$C:$C,"",0)</f>
        <v>Calistenia</v>
      </c>
      <c r="G334" t="str">
        <f>_xlfn.XLOOKUP(E334,MAPEO!$B:$B,MAPEO!$D:$D,"",0)</f>
        <v>Agus</v>
      </c>
      <c r="H334">
        <v>19</v>
      </c>
    </row>
    <row r="335" spans="1:8" ht="15.75" customHeight="1">
      <c r="A335" s="19">
        <v>4</v>
      </c>
      <c r="B335" s="17">
        <v>45689</v>
      </c>
      <c r="C335" s="19" t="str">
        <f t="shared" si="20"/>
        <v>02</v>
      </c>
      <c r="D335" t="str">
        <f t="shared" si="21"/>
        <v>FEBRERO</v>
      </c>
      <c r="E335" s="4" t="s">
        <v>7</v>
      </c>
      <c r="F335" t="str">
        <f>_xlfn.XLOOKUP(E335,MAPEO!$B:$B,MAPEO!$C:$C,"",0)</f>
        <v>Calistenia</v>
      </c>
      <c r="G335" t="str">
        <f>_xlfn.XLOOKUP(E335,MAPEO!$B:$B,MAPEO!$D:$D,"",0)</f>
        <v>Lazaro</v>
      </c>
      <c r="H335">
        <v>13</v>
      </c>
    </row>
    <row r="336" spans="1:8" ht="15.75" customHeight="1">
      <c r="A336" s="19">
        <v>4</v>
      </c>
      <c r="B336" s="17">
        <v>45689</v>
      </c>
      <c r="C336" s="19" t="str">
        <f t="shared" si="20"/>
        <v>02</v>
      </c>
      <c r="D336" t="str">
        <f t="shared" si="21"/>
        <v>FEBRERO</v>
      </c>
      <c r="E336" s="4" t="s">
        <v>44</v>
      </c>
      <c r="F336" t="str">
        <f>_xlfn.XLOOKUP(E336,MAPEO!$B:$B,MAPEO!$C:$C,"",0)</f>
        <v>Calistenia</v>
      </c>
      <c r="G336" t="str">
        <f>_xlfn.XLOOKUP(E336,MAPEO!$B:$B,MAPEO!$D:$D,"",0)</f>
        <v>Paula</v>
      </c>
      <c r="H336">
        <v>6</v>
      </c>
    </row>
    <row r="337" spans="1:9" ht="15.75" customHeight="1">
      <c r="A337" s="19">
        <v>4</v>
      </c>
      <c r="B337" s="17">
        <v>45689</v>
      </c>
      <c r="C337" s="19" t="str">
        <f t="shared" si="20"/>
        <v>02</v>
      </c>
      <c r="D337" t="str">
        <f t="shared" si="21"/>
        <v>FEBRERO</v>
      </c>
      <c r="E337" s="5" t="s">
        <v>8</v>
      </c>
      <c r="F337" t="str">
        <f>_xlfn.XLOOKUP(E337,MAPEO!$B:$B,MAPEO!$C:$C,"",0)</f>
        <v>Boxeo</v>
      </c>
      <c r="G337" t="str">
        <f>_xlfn.XLOOKUP(E337,MAPEO!$B:$B,MAPEO!$D:$D,"",0)</f>
        <v>Mariano</v>
      </c>
      <c r="H337">
        <v>24</v>
      </c>
    </row>
    <row r="338" spans="1:9" ht="15.75" customHeight="1">
      <c r="A338" s="19">
        <v>4</v>
      </c>
      <c r="B338" s="17">
        <v>45689</v>
      </c>
      <c r="C338" s="19" t="str">
        <f t="shared" si="20"/>
        <v>02</v>
      </c>
      <c r="D338" t="str">
        <f t="shared" si="21"/>
        <v>FEBRERO</v>
      </c>
      <c r="E338" s="6" t="s">
        <v>9</v>
      </c>
      <c r="F338" t="str">
        <f>_xlfn.XLOOKUP(E338,MAPEO!$B:$B,MAPEO!$C:$C,"",0)</f>
        <v>Boxeo</v>
      </c>
      <c r="G338" t="str">
        <f>_xlfn.XLOOKUP(E338,MAPEO!$B:$B,MAPEO!$D:$D,"",0)</f>
        <v>tito</v>
      </c>
      <c r="H338">
        <v>25</v>
      </c>
    </row>
    <row r="339" spans="1:9" ht="15.75" customHeight="1">
      <c r="A339" s="19">
        <v>4</v>
      </c>
      <c r="B339" s="17">
        <v>45689</v>
      </c>
      <c r="C339" s="19" t="str">
        <f t="shared" si="20"/>
        <v>02</v>
      </c>
      <c r="D339" t="str">
        <f t="shared" si="21"/>
        <v>FEBRERO</v>
      </c>
      <c r="E339" s="1" t="s">
        <v>30</v>
      </c>
      <c r="F339" t="str">
        <f>_xlfn.XLOOKUP(E339,MAPEO!$B:$B,MAPEO!$C:$C,"",0)</f>
        <v>MMA+BOXEO</v>
      </c>
      <c r="G339" t="s">
        <v>56</v>
      </c>
      <c r="H339">
        <v>4</v>
      </c>
    </row>
    <row r="340" spans="1:9" ht="15.75" customHeight="1">
      <c r="A340" s="19">
        <v>4</v>
      </c>
      <c r="B340" s="17">
        <v>45689</v>
      </c>
      <c r="C340" s="19" t="str">
        <f t="shared" si="20"/>
        <v>02</v>
      </c>
      <c r="D340" t="str">
        <f t="shared" si="21"/>
        <v>FEBRERO</v>
      </c>
      <c r="E340" s="7" t="s">
        <v>11</v>
      </c>
      <c r="F340" t="str">
        <f>_xlfn.XLOOKUP(E340,MAPEO!$B:$B,MAPEO!$C:$C,"",0)</f>
        <v>Karate</v>
      </c>
      <c r="G340" t="s">
        <v>56</v>
      </c>
      <c r="H340">
        <v>3</v>
      </c>
    </row>
    <row r="341" spans="1:9" ht="15.75" customHeight="1">
      <c r="A341" s="19">
        <v>4</v>
      </c>
      <c r="B341" s="17">
        <v>45689</v>
      </c>
      <c r="C341" s="19" t="str">
        <f t="shared" si="20"/>
        <v>02</v>
      </c>
      <c r="D341" t="str">
        <f t="shared" si="21"/>
        <v>FEBRERO</v>
      </c>
      <c r="E341" s="23" t="s">
        <v>22</v>
      </c>
      <c r="F341" t="str">
        <f>_xlfn.XLOOKUP(E341,MAPEO!$B:$B,MAPEO!$C:$C,"",0)</f>
        <v>Taekwondo</v>
      </c>
      <c r="G341" t="s">
        <v>56</v>
      </c>
      <c r="H341">
        <v>3</v>
      </c>
    </row>
    <row r="342" spans="1:9" ht="15.75" customHeight="1">
      <c r="A342" s="19">
        <v>4</v>
      </c>
      <c r="B342" s="17">
        <v>45689</v>
      </c>
      <c r="C342" s="19" t="str">
        <f t="shared" si="20"/>
        <v>02</v>
      </c>
      <c r="D342" t="str">
        <f t="shared" si="21"/>
        <v>FEBRERO</v>
      </c>
      <c r="E342" s="3" t="s">
        <v>12</v>
      </c>
      <c r="F342" t="str">
        <f>_xlfn.XLOOKUP(E342,MAPEO!$B:$B,MAPEO!$C:$C,"",0)</f>
        <v>Tela</v>
      </c>
      <c r="G342" t="s">
        <v>56</v>
      </c>
      <c r="H342">
        <v>5</v>
      </c>
    </row>
    <row r="343" spans="1:9" ht="15.75" customHeight="1">
      <c r="A343" s="19">
        <v>4</v>
      </c>
      <c r="B343" s="17">
        <v>45689</v>
      </c>
      <c r="C343" s="19" t="str">
        <f t="shared" si="20"/>
        <v>02</v>
      </c>
      <c r="D343" t="str">
        <f t="shared" si="21"/>
        <v>FEBRERO</v>
      </c>
      <c r="E343" s="8" t="s">
        <v>13</v>
      </c>
      <c r="F343" t="str">
        <f>_xlfn.XLOOKUP(E343,MAPEO!$B:$B,MAPEO!$C:$C,"",0)</f>
        <v>Lyra</v>
      </c>
      <c r="G343" t="s">
        <v>56</v>
      </c>
      <c r="H343">
        <v>11</v>
      </c>
    </row>
    <row r="344" spans="1:9" ht="15.75" customHeight="1">
      <c r="A344" s="19">
        <v>4</v>
      </c>
      <c r="B344" s="17">
        <v>45689</v>
      </c>
      <c r="C344" s="19" t="str">
        <f t="shared" si="20"/>
        <v>02</v>
      </c>
      <c r="D344" t="str">
        <f t="shared" si="21"/>
        <v>FEBRERO</v>
      </c>
      <c r="E344" s="13" t="s">
        <v>14</v>
      </c>
      <c r="F344" t="str">
        <f>_xlfn.XLOOKUP(E344,MAPEO!$B:$B,MAPEO!$C:$C,"",0)</f>
        <v>Yoga y Yoga Columpio</v>
      </c>
      <c r="G344" t="s">
        <v>56</v>
      </c>
      <c r="H344">
        <v>4</v>
      </c>
    </row>
    <row r="345" spans="1:9" ht="15.75" customHeight="1">
      <c r="A345" s="19">
        <v>4</v>
      </c>
      <c r="B345" s="17">
        <v>45689</v>
      </c>
      <c r="C345" s="19" t="str">
        <f t="shared" si="20"/>
        <v>02</v>
      </c>
      <c r="D345" t="str">
        <f t="shared" si="21"/>
        <v>FEBRERO</v>
      </c>
      <c r="E345" s="5" t="s">
        <v>15</v>
      </c>
      <c r="F345" t="str">
        <f>_xlfn.XLOOKUP(E345,MAPEO!$B:$B,MAPEO!$C:$C,"",0)</f>
        <v>Pole Sport</v>
      </c>
      <c r="G345" t="s">
        <v>56</v>
      </c>
      <c r="H345">
        <v>21</v>
      </c>
    </row>
    <row r="346" spans="1:9" ht="15.75" customHeight="1">
      <c r="A346" s="19">
        <v>4</v>
      </c>
      <c r="B346" s="17">
        <v>45689</v>
      </c>
      <c r="C346" s="19" t="str">
        <f t="shared" si="20"/>
        <v>02</v>
      </c>
      <c r="D346" t="str">
        <f t="shared" si="21"/>
        <v>FEBRERO</v>
      </c>
      <c r="E346" s="10" t="s">
        <v>16</v>
      </c>
      <c r="F346" t="str">
        <f>_xlfn.XLOOKUP(E346,MAPEO!$B:$B,MAPEO!$C:$C,"",0)</f>
        <v>Acro Kids</v>
      </c>
      <c r="G346" t="s">
        <v>56</v>
      </c>
      <c r="H346">
        <v>7</v>
      </c>
    </row>
    <row r="347" spans="1:9" ht="15.75" customHeight="1">
      <c r="A347" s="19">
        <v>4</v>
      </c>
      <c r="B347" s="17">
        <v>45689</v>
      </c>
      <c r="C347" s="19" t="str">
        <f t="shared" si="20"/>
        <v>02</v>
      </c>
      <c r="D347" t="str">
        <f t="shared" si="21"/>
        <v>FEBRERO</v>
      </c>
      <c r="E347" s="3" t="s">
        <v>17</v>
      </c>
      <c r="F347" t="str">
        <f>_xlfn.XLOOKUP(E347,MAPEO!$B:$B,MAPEO!$C:$C,"",0)</f>
        <v>Calistenia</v>
      </c>
      <c r="G347" t="s">
        <v>56</v>
      </c>
      <c r="H347">
        <v>2</v>
      </c>
    </row>
    <row r="348" spans="1:9" ht="15.75" customHeight="1">
      <c r="A348" s="19">
        <v>4</v>
      </c>
      <c r="B348" s="17">
        <v>45689</v>
      </c>
      <c r="C348" s="19" t="str">
        <f t="shared" si="20"/>
        <v>02</v>
      </c>
      <c r="D348" t="str">
        <f t="shared" si="21"/>
        <v>FEBRERO</v>
      </c>
      <c r="E348" s="11" t="s">
        <v>18</v>
      </c>
      <c r="F348" t="str">
        <f>_xlfn.XLOOKUP(E348,MAPEO!$B:$B,MAPEO!$C:$C,"",0)</f>
        <v>Movimiento Consciente</v>
      </c>
      <c r="G348" t="s">
        <v>56</v>
      </c>
      <c r="H348">
        <v>3</v>
      </c>
    </row>
    <row r="349" spans="1:9" ht="15.75" customHeight="1">
      <c r="A349" s="19">
        <v>4</v>
      </c>
      <c r="B349" s="17">
        <v>45689</v>
      </c>
      <c r="C349" s="19" t="str">
        <f t="shared" si="20"/>
        <v>02</v>
      </c>
      <c r="D349" t="str">
        <f t="shared" si="21"/>
        <v>FEBRERO</v>
      </c>
      <c r="E349" s="5" t="s">
        <v>19</v>
      </c>
      <c r="F349" t="str">
        <f>_xlfn.XLOOKUP(E349,MAPEO!$B:$B,MAPEO!$C:$C,"",0)</f>
        <v>Cross Traning</v>
      </c>
      <c r="G349" t="s">
        <v>56</v>
      </c>
      <c r="H349">
        <v>3</v>
      </c>
    </row>
    <row r="350" spans="1:9" ht="15.75" customHeight="1">
      <c r="A350" s="19">
        <v>4</v>
      </c>
      <c r="B350" s="17">
        <v>45689</v>
      </c>
      <c r="C350" s="19" t="str">
        <f t="shared" si="20"/>
        <v>02</v>
      </c>
      <c r="D350" t="str">
        <f t="shared" si="21"/>
        <v>FEBRERO</v>
      </c>
      <c r="E350" s="12" t="s">
        <v>20</v>
      </c>
      <c r="F350" t="str">
        <f>_xlfn.XLOOKUP(E350,MAPEO!$B:$B,MAPEO!$C:$C,"",0)</f>
        <v>Funcional</v>
      </c>
      <c r="G350" t="s">
        <v>56</v>
      </c>
      <c r="H350">
        <v>111</v>
      </c>
      <c r="I350" t="s">
        <v>31</v>
      </c>
    </row>
    <row r="351" spans="1:9" ht="15.75" customHeight="1">
      <c r="A351" s="19">
        <v>4</v>
      </c>
      <c r="B351" s="17">
        <v>45689</v>
      </c>
      <c r="C351" s="19" t="str">
        <f t="shared" si="20"/>
        <v>02</v>
      </c>
      <c r="D351" t="str">
        <f t="shared" si="21"/>
        <v>FEBRERO</v>
      </c>
      <c r="E351" s="13" t="s">
        <v>21</v>
      </c>
      <c r="F351" t="str">
        <f>_xlfn.XLOOKUP(E351,MAPEO!$B:$B,MAPEO!$C:$C,"",0)</f>
        <v>EFA</v>
      </c>
      <c r="G351" t="s">
        <v>56</v>
      </c>
      <c r="H351">
        <v>2</v>
      </c>
      <c r="I351" t="s">
        <v>33</v>
      </c>
    </row>
    <row r="352" spans="1:9" ht="15.75" customHeight="1">
      <c r="A352" s="19">
        <v>4</v>
      </c>
      <c r="B352" s="17">
        <v>45689</v>
      </c>
      <c r="C352" s="19" t="str">
        <f t="shared" si="20"/>
        <v>02</v>
      </c>
      <c r="D352" t="str">
        <f t="shared" si="21"/>
        <v>FEBRERO</v>
      </c>
      <c r="E352" s="14" t="s">
        <v>23</v>
      </c>
      <c r="F352" t="str">
        <f>_xlfn.XLOOKUP(E352,MAPEO!$B:$B,MAPEO!$C:$C,"",0)</f>
        <v>Personalizados</v>
      </c>
      <c r="G352" t="str">
        <f>_xlfn.XLOOKUP(E352,MAPEO!$B:$B,MAPEO!$D:$D,"",0)</f>
        <v>Marco</v>
      </c>
      <c r="H352">
        <v>35</v>
      </c>
    </row>
    <row r="353" spans="1:8" ht="15.75" customHeight="1">
      <c r="A353" s="19">
        <v>4</v>
      </c>
      <c r="B353" s="17">
        <v>45689</v>
      </c>
      <c r="C353" s="19" t="str">
        <f t="shared" si="20"/>
        <v>02</v>
      </c>
      <c r="D353" t="str">
        <f t="shared" si="21"/>
        <v>FEBRERO</v>
      </c>
      <c r="E353" s="5" t="s">
        <v>24</v>
      </c>
      <c r="F353" t="str">
        <f>_xlfn.XLOOKUP(E353,MAPEO!$B:$B,MAPEO!$C:$C,"",0)</f>
        <v>Personalizados</v>
      </c>
      <c r="G353" t="str">
        <f>_xlfn.XLOOKUP(E353,MAPEO!$B:$B,MAPEO!$D:$D,"",0)</f>
        <v>Lean</v>
      </c>
      <c r="H353">
        <v>3</v>
      </c>
    </row>
    <row r="354" spans="1:8" ht="15.75" customHeight="1">
      <c r="A354" s="19">
        <v>4</v>
      </c>
      <c r="B354" s="17">
        <v>45717</v>
      </c>
      <c r="C354" s="19" t="str">
        <f t="shared" si="20"/>
        <v>03</v>
      </c>
      <c r="D354" t="str">
        <f t="shared" si="21"/>
        <v>MARZO</v>
      </c>
      <c r="E354" s="1" t="s">
        <v>3</v>
      </c>
      <c r="F354" t="str">
        <f>_xlfn.XLOOKUP(E354,MAPEO!$B:$B,MAPEO!$C:$C,"",0)</f>
        <v>Calistenia</v>
      </c>
      <c r="G354" t="str">
        <f>_xlfn.XLOOKUP(E354,MAPEO!$B:$B,MAPEO!$D:$D,"",0)</f>
        <v>Edd</v>
      </c>
      <c r="H354">
        <v>31</v>
      </c>
    </row>
    <row r="355" spans="1:8" ht="15.75" customHeight="1">
      <c r="A355" s="19">
        <v>4</v>
      </c>
      <c r="B355" s="17">
        <v>45717</v>
      </c>
      <c r="C355" s="19" t="str">
        <f t="shared" si="20"/>
        <v>03</v>
      </c>
      <c r="D355" t="str">
        <f t="shared" si="21"/>
        <v>MARZO</v>
      </c>
      <c r="E355" s="2" t="s">
        <v>4</v>
      </c>
      <c r="F355" t="str">
        <f>_xlfn.XLOOKUP(E355,MAPEO!$B:$B,MAPEO!$C:$C,"",0)</f>
        <v>Calistenia</v>
      </c>
      <c r="G355" t="str">
        <f>_xlfn.XLOOKUP(E355,MAPEO!$B:$B,MAPEO!$D:$D,"",0)</f>
        <v>Martin</v>
      </c>
      <c r="H355">
        <v>36</v>
      </c>
    </row>
    <row r="356" spans="1:8" ht="15.75" customHeight="1">
      <c r="A356" s="19">
        <v>4</v>
      </c>
      <c r="B356" s="17">
        <v>45717</v>
      </c>
      <c r="C356" s="19" t="str">
        <f t="shared" si="20"/>
        <v>03</v>
      </c>
      <c r="D356" t="str">
        <f t="shared" si="21"/>
        <v>MARZO</v>
      </c>
      <c r="E356" s="3" t="s">
        <v>6</v>
      </c>
      <c r="F356" t="str">
        <f>_xlfn.XLOOKUP(E356,MAPEO!$B:$B,MAPEO!$C:$C,"",0)</f>
        <v>Calistenia</v>
      </c>
      <c r="G356" t="str">
        <f>_xlfn.XLOOKUP(E356,MAPEO!$B:$B,MAPEO!$D:$D,"",0)</f>
        <v>Agus</v>
      </c>
      <c r="H356">
        <v>11</v>
      </c>
    </row>
    <row r="357" spans="1:8" ht="15.75" customHeight="1">
      <c r="A357" s="19">
        <v>4</v>
      </c>
      <c r="B357" s="17">
        <v>45717</v>
      </c>
      <c r="C357" s="19" t="str">
        <f t="shared" si="20"/>
        <v>03</v>
      </c>
      <c r="D357" t="str">
        <f t="shared" si="21"/>
        <v>MARZO</v>
      </c>
      <c r="E357" s="4" t="s">
        <v>7</v>
      </c>
      <c r="F357" t="str">
        <f>_xlfn.XLOOKUP(E357,MAPEO!$B:$B,MAPEO!$C:$C,"",0)</f>
        <v>Calistenia</v>
      </c>
      <c r="G357" t="str">
        <f>_xlfn.XLOOKUP(E357,MAPEO!$B:$B,MAPEO!$D:$D,"",0)</f>
        <v>Lazaro</v>
      </c>
      <c r="H357">
        <v>19</v>
      </c>
    </row>
    <row r="358" spans="1:8" ht="15.75" customHeight="1">
      <c r="A358" s="19">
        <v>4</v>
      </c>
      <c r="B358" s="17">
        <v>45717</v>
      </c>
      <c r="C358" s="19" t="str">
        <f t="shared" si="20"/>
        <v>03</v>
      </c>
      <c r="D358" t="str">
        <f t="shared" si="21"/>
        <v>MARZO</v>
      </c>
      <c r="E358" s="4" t="s">
        <v>44</v>
      </c>
      <c r="F358" t="str">
        <f>_xlfn.XLOOKUP(E358,MAPEO!$B:$B,MAPEO!$C:$C,"",0)</f>
        <v>Calistenia</v>
      </c>
      <c r="G358" t="str">
        <f>_xlfn.XLOOKUP(E358,MAPEO!$B:$B,MAPEO!$D:$D,"",0)</f>
        <v>Paula</v>
      </c>
      <c r="H358">
        <v>5</v>
      </c>
    </row>
    <row r="359" spans="1:8" ht="15.75" customHeight="1">
      <c r="A359" s="19">
        <v>4</v>
      </c>
      <c r="B359" s="17">
        <v>45717</v>
      </c>
      <c r="C359" s="19" t="str">
        <f t="shared" si="20"/>
        <v>03</v>
      </c>
      <c r="D359" t="str">
        <f t="shared" si="21"/>
        <v>MARZO</v>
      </c>
      <c r="E359" s="5" t="s">
        <v>8</v>
      </c>
      <c r="F359" t="str">
        <f>_xlfn.XLOOKUP(E359,MAPEO!$B:$B,MAPEO!$C:$C,"",0)</f>
        <v>Boxeo</v>
      </c>
      <c r="G359" t="str">
        <f>_xlfn.XLOOKUP(E359,MAPEO!$B:$B,MAPEO!$D:$D,"",0)</f>
        <v>Mariano</v>
      </c>
      <c r="H359">
        <v>30</v>
      </c>
    </row>
    <row r="360" spans="1:8" ht="15.75" customHeight="1">
      <c r="A360" s="19">
        <v>4</v>
      </c>
      <c r="B360" s="17">
        <v>45717</v>
      </c>
      <c r="C360" s="19" t="str">
        <f t="shared" si="20"/>
        <v>03</v>
      </c>
      <c r="D360" t="str">
        <f t="shared" si="21"/>
        <v>MARZO</v>
      </c>
      <c r="E360" s="6" t="s">
        <v>9</v>
      </c>
      <c r="F360" t="str">
        <f>_xlfn.XLOOKUP(E360,MAPEO!$B:$B,MAPEO!$C:$C,"",0)</f>
        <v>Boxeo</v>
      </c>
      <c r="G360" t="str">
        <f>_xlfn.XLOOKUP(E360,MAPEO!$B:$B,MAPEO!$D:$D,"",0)</f>
        <v>tito</v>
      </c>
      <c r="H360">
        <v>30</v>
      </c>
    </row>
    <row r="361" spans="1:8" ht="15.75" customHeight="1">
      <c r="A361" s="19">
        <v>4</v>
      </c>
      <c r="B361" s="17">
        <v>45717</v>
      </c>
      <c r="C361" s="19" t="str">
        <f t="shared" si="20"/>
        <v>03</v>
      </c>
      <c r="D361" t="str">
        <f t="shared" si="21"/>
        <v>MARZO</v>
      </c>
      <c r="E361" s="1" t="s">
        <v>10</v>
      </c>
      <c r="F361" t="str">
        <f>_xlfn.XLOOKUP(E361,MAPEO!$B:$B,MAPEO!$C:$C,"",0)</f>
        <v xml:space="preserve">MMA </v>
      </c>
      <c r="G361" t="s">
        <v>56</v>
      </c>
      <c r="H361">
        <v>6</v>
      </c>
    </row>
    <row r="362" spans="1:8" ht="15.75" customHeight="1">
      <c r="A362" s="19">
        <v>4</v>
      </c>
      <c r="B362" s="17">
        <v>45717</v>
      </c>
      <c r="C362" s="19" t="str">
        <f t="shared" si="20"/>
        <v>03</v>
      </c>
      <c r="D362" t="str">
        <f t="shared" si="21"/>
        <v>MARZO</v>
      </c>
      <c r="E362" s="7" t="s">
        <v>11</v>
      </c>
      <c r="F362" t="str">
        <f>_xlfn.XLOOKUP(E362,MAPEO!$B:$B,MAPEO!$C:$C,"",0)</f>
        <v>Karate</v>
      </c>
      <c r="G362" t="s">
        <v>56</v>
      </c>
      <c r="H362">
        <v>3</v>
      </c>
    </row>
    <row r="363" spans="1:8" ht="15.75" customHeight="1">
      <c r="A363" s="19">
        <v>4</v>
      </c>
      <c r="B363" s="17">
        <v>45717</v>
      </c>
      <c r="C363" s="19" t="str">
        <f t="shared" si="20"/>
        <v>03</v>
      </c>
      <c r="D363" t="str">
        <f t="shared" si="21"/>
        <v>MARZO</v>
      </c>
      <c r="E363" s="3" t="s">
        <v>12</v>
      </c>
      <c r="F363" t="str">
        <f>_xlfn.XLOOKUP(E363,MAPEO!$B:$B,MAPEO!$C:$C,"",0)</f>
        <v>Tela</v>
      </c>
      <c r="G363" t="s">
        <v>56</v>
      </c>
      <c r="H363">
        <v>8</v>
      </c>
    </row>
    <row r="364" spans="1:8" ht="15.75" customHeight="1">
      <c r="A364" s="19">
        <v>4</v>
      </c>
      <c r="B364" s="17">
        <v>45717</v>
      </c>
      <c r="C364" s="19" t="str">
        <f t="shared" si="20"/>
        <v>03</v>
      </c>
      <c r="D364" t="str">
        <f t="shared" si="21"/>
        <v>MARZO</v>
      </c>
      <c r="E364" s="24" t="s">
        <v>13</v>
      </c>
      <c r="F364" t="str">
        <f>_xlfn.XLOOKUP(E364,MAPEO!$B:$B,MAPEO!$C:$C,"",0)</f>
        <v>Lyra</v>
      </c>
      <c r="G364" t="s">
        <v>56</v>
      </c>
      <c r="H364">
        <v>12</v>
      </c>
    </row>
    <row r="365" spans="1:8" ht="15.75" customHeight="1">
      <c r="A365" s="19">
        <v>4</v>
      </c>
      <c r="B365" s="17">
        <v>45717</v>
      </c>
      <c r="C365" s="19" t="str">
        <f t="shared" si="20"/>
        <v>03</v>
      </c>
      <c r="D365" t="str">
        <f t="shared" si="21"/>
        <v>MARZO</v>
      </c>
      <c r="E365" s="13" t="s">
        <v>14</v>
      </c>
      <c r="F365" t="str">
        <f>_xlfn.XLOOKUP(E365,MAPEO!$B:$B,MAPEO!$C:$C,"",0)</f>
        <v>Yoga y Yoga Columpio</v>
      </c>
      <c r="G365" t="s">
        <v>56</v>
      </c>
      <c r="H365">
        <v>3</v>
      </c>
    </row>
    <row r="366" spans="1:8" ht="15.75" customHeight="1">
      <c r="A366" s="19">
        <v>4</v>
      </c>
      <c r="B366" s="17">
        <v>45717</v>
      </c>
      <c r="C366" s="19" t="str">
        <f t="shared" si="20"/>
        <v>03</v>
      </c>
      <c r="D366" t="str">
        <f t="shared" si="21"/>
        <v>MARZO</v>
      </c>
      <c r="E366" s="5" t="s">
        <v>15</v>
      </c>
      <c r="F366" t="str">
        <f>_xlfn.XLOOKUP(E366,MAPEO!$B:$B,MAPEO!$C:$C,"",0)</f>
        <v>Pole Sport</v>
      </c>
      <c r="G366" t="s">
        <v>56</v>
      </c>
      <c r="H366">
        <v>27</v>
      </c>
    </row>
    <row r="367" spans="1:8" ht="15.75" customHeight="1">
      <c r="A367" s="19">
        <v>4</v>
      </c>
      <c r="B367" s="17">
        <v>45717</v>
      </c>
      <c r="C367" s="19" t="str">
        <f t="shared" si="20"/>
        <v>03</v>
      </c>
      <c r="D367" t="str">
        <f t="shared" si="21"/>
        <v>MARZO</v>
      </c>
      <c r="E367" s="10" t="s">
        <v>16</v>
      </c>
      <c r="F367" t="str">
        <f>_xlfn.XLOOKUP(E367,MAPEO!$B:$B,MAPEO!$C:$C,"",0)</f>
        <v>Acro Kids</v>
      </c>
      <c r="G367" t="s">
        <v>56</v>
      </c>
      <c r="H367">
        <v>10</v>
      </c>
    </row>
    <row r="368" spans="1:8" ht="15.75" customHeight="1">
      <c r="A368" s="19">
        <v>4</v>
      </c>
      <c r="B368" s="17">
        <v>45717</v>
      </c>
      <c r="C368" s="19" t="str">
        <f t="shared" si="20"/>
        <v>03</v>
      </c>
      <c r="D368" t="str">
        <f t="shared" si="21"/>
        <v>MARZO</v>
      </c>
      <c r="E368" s="3" t="s">
        <v>17</v>
      </c>
      <c r="F368" t="str">
        <f>_xlfn.XLOOKUP(E368,MAPEO!$B:$B,MAPEO!$C:$C,"",0)</f>
        <v>Calistenia</v>
      </c>
      <c r="G368" t="s">
        <v>56</v>
      </c>
      <c r="H368">
        <v>5</v>
      </c>
    </row>
    <row r="369" spans="1:8" ht="15.75" customHeight="1">
      <c r="A369" s="19">
        <v>4</v>
      </c>
      <c r="B369" s="17">
        <v>45717</v>
      </c>
      <c r="C369" s="19" t="str">
        <f t="shared" si="20"/>
        <v>03</v>
      </c>
      <c r="D369" t="str">
        <f t="shared" si="21"/>
        <v>MARZO</v>
      </c>
      <c r="E369" s="11" t="s">
        <v>18</v>
      </c>
      <c r="F369" t="str">
        <f>_xlfn.XLOOKUP(E369,MAPEO!$B:$B,MAPEO!$C:$C,"",0)</f>
        <v>Movimiento Consciente</v>
      </c>
      <c r="G369" t="s">
        <v>56</v>
      </c>
      <c r="H369">
        <v>6</v>
      </c>
    </row>
    <row r="370" spans="1:8" ht="15.75" customHeight="1">
      <c r="A370" s="19">
        <v>4</v>
      </c>
      <c r="B370" s="17">
        <v>45717</v>
      </c>
      <c r="C370" s="19" t="str">
        <f t="shared" si="20"/>
        <v>03</v>
      </c>
      <c r="D370" t="str">
        <f t="shared" si="21"/>
        <v>MARZO</v>
      </c>
      <c r="E370" s="5" t="s">
        <v>19</v>
      </c>
      <c r="F370" t="str">
        <f>_xlfn.XLOOKUP(E370,MAPEO!$B:$B,MAPEO!$C:$C,"",0)</f>
        <v>Cross Traning</v>
      </c>
      <c r="G370" t="s">
        <v>56</v>
      </c>
      <c r="H370">
        <v>4</v>
      </c>
    </row>
    <row r="371" spans="1:8" ht="15.75" customHeight="1">
      <c r="A371" s="19">
        <v>4</v>
      </c>
      <c r="B371" s="17">
        <v>45717</v>
      </c>
      <c r="C371" s="19" t="str">
        <f t="shared" si="20"/>
        <v>03</v>
      </c>
      <c r="D371" t="str">
        <f t="shared" si="21"/>
        <v>MARZO</v>
      </c>
      <c r="E371" s="12" t="s">
        <v>20</v>
      </c>
      <c r="F371" t="str">
        <f>_xlfn.XLOOKUP(E371,MAPEO!$B:$B,MAPEO!$C:$C,"",0)</f>
        <v>Funcional</v>
      </c>
      <c r="G371" t="s">
        <v>56</v>
      </c>
      <c r="H371">
        <v>103</v>
      </c>
    </row>
    <row r="372" spans="1:8" ht="15.75" customHeight="1">
      <c r="A372" s="19">
        <v>4</v>
      </c>
      <c r="B372" s="17">
        <v>45717</v>
      </c>
      <c r="C372" s="19" t="str">
        <f t="shared" si="20"/>
        <v>03</v>
      </c>
      <c r="D372" t="str">
        <f t="shared" si="21"/>
        <v>MARZO</v>
      </c>
      <c r="E372" s="13" t="s">
        <v>21</v>
      </c>
      <c r="F372" t="str">
        <f>_xlfn.XLOOKUP(E372,MAPEO!$B:$B,MAPEO!$C:$C,"",0)</f>
        <v>EFA</v>
      </c>
      <c r="G372" t="s">
        <v>56</v>
      </c>
      <c r="H372">
        <v>12</v>
      </c>
    </row>
    <row r="373" spans="1:8" ht="15.75" customHeight="1">
      <c r="A373" s="19">
        <v>4</v>
      </c>
      <c r="B373" s="17">
        <v>45717</v>
      </c>
      <c r="C373" s="19" t="str">
        <f t="shared" si="20"/>
        <v>03</v>
      </c>
      <c r="D373" t="str">
        <f t="shared" si="21"/>
        <v>MARZO</v>
      </c>
      <c r="E373" s="14" t="s">
        <v>23</v>
      </c>
      <c r="F373" t="str">
        <f>_xlfn.XLOOKUP(E373,MAPEO!$B:$B,MAPEO!$C:$C,"",0)</f>
        <v>Personalizados</v>
      </c>
      <c r="G373" t="str">
        <f>_xlfn.XLOOKUP(E373,MAPEO!$B:$B,MAPEO!$D:$D,"",0)</f>
        <v>Marco</v>
      </c>
      <c r="H373">
        <v>21</v>
      </c>
    </row>
    <row r="374" spans="1:8" ht="15.75" customHeight="1">
      <c r="A374" s="19">
        <v>4</v>
      </c>
      <c r="B374" s="17">
        <v>45717</v>
      </c>
      <c r="C374" s="19" t="str">
        <f t="shared" si="20"/>
        <v>03</v>
      </c>
      <c r="D374" t="str">
        <f t="shared" si="21"/>
        <v>MARZO</v>
      </c>
      <c r="E374" s="5" t="s">
        <v>24</v>
      </c>
      <c r="F374" t="str">
        <f>_xlfn.XLOOKUP(E374,MAPEO!$B:$B,MAPEO!$C:$C,"",0)</f>
        <v>Personalizados</v>
      </c>
      <c r="G374" t="str">
        <f>_xlfn.XLOOKUP(E374,MAPEO!$B:$B,MAPEO!$D:$D,"",0)</f>
        <v>Lean</v>
      </c>
      <c r="H374">
        <v>1</v>
      </c>
    </row>
    <row r="375" spans="1:8" ht="15.75" customHeight="1">
      <c r="A375" s="19">
        <v>4</v>
      </c>
      <c r="B375" s="17">
        <v>45748</v>
      </c>
      <c r="C375" s="19" t="str">
        <f t="shared" si="20"/>
        <v>04</v>
      </c>
      <c r="D375" t="str">
        <f t="shared" si="21"/>
        <v>ABRIL</v>
      </c>
      <c r="E375" s="1" t="s">
        <v>3</v>
      </c>
      <c r="F375" t="str">
        <f>_xlfn.XLOOKUP(E375,MAPEO!$B:$B,MAPEO!$C:$C,"",0)</f>
        <v>Calistenia</v>
      </c>
      <c r="G375" t="str">
        <f>_xlfn.XLOOKUP(E375,MAPEO!$B:$B,MAPEO!$D:$D,"",0)</f>
        <v>Edd</v>
      </c>
      <c r="H375">
        <v>31</v>
      </c>
    </row>
    <row r="376" spans="1:8" ht="15.75" customHeight="1">
      <c r="A376" s="19">
        <f t="shared" ref="A376:A397" si="22">A375</f>
        <v>4</v>
      </c>
      <c r="B376" s="17">
        <v>45748</v>
      </c>
      <c r="C376" s="19" t="str">
        <f t="shared" si="20"/>
        <v>04</v>
      </c>
      <c r="D376" t="str">
        <f t="shared" si="21"/>
        <v>ABRIL</v>
      </c>
      <c r="E376" s="2" t="s">
        <v>4</v>
      </c>
      <c r="F376" t="str">
        <f>_xlfn.XLOOKUP(E376,MAPEO!$B:$B,MAPEO!$C:$C,"",0)</f>
        <v>Calistenia</v>
      </c>
      <c r="G376" t="str">
        <f>_xlfn.XLOOKUP(E376,MAPEO!$B:$B,MAPEO!$D:$D,"",0)</f>
        <v>Martin</v>
      </c>
      <c r="H376">
        <v>37</v>
      </c>
    </row>
    <row r="377" spans="1:8" ht="15.75" customHeight="1">
      <c r="A377" s="19">
        <f t="shared" si="22"/>
        <v>4</v>
      </c>
      <c r="B377" s="17">
        <v>45748</v>
      </c>
      <c r="C377" s="19" t="str">
        <f t="shared" si="20"/>
        <v>04</v>
      </c>
      <c r="D377" t="str">
        <f t="shared" si="21"/>
        <v>ABRIL</v>
      </c>
      <c r="E377" s="3" t="s">
        <v>6</v>
      </c>
      <c r="F377" t="str">
        <f>_xlfn.XLOOKUP(E377,MAPEO!$B:$B,MAPEO!$C:$C,"",0)</f>
        <v>Calistenia</v>
      </c>
      <c r="G377" t="str">
        <f>_xlfn.XLOOKUP(E377,MAPEO!$B:$B,MAPEO!$D:$D,"",0)</f>
        <v>Agus</v>
      </c>
      <c r="H377">
        <v>22</v>
      </c>
    </row>
    <row r="378" spans="1:8" ht="15.75" customHeight="1">
      <c r="A378" s="19">
        <f t="shared" si="22"/>
        <v>4</v>
      </c>
      <c r="B378" s="17">
        <v>45748</v>
      </c>
      <c r="C378" s="19" t="str">
        <f t="shared" si="20"/>
        <v>04</v>
      </c>
      <c r="D378" t="str">
        <f t="shared" si="21"/>
        <v>ABRIL</v>
      </c>
      <c r="E378" s="4" t="s">
        <v>7</v>
      </c>
      <c r="F378" t="str">
        <f>_xlfn.XLOOKUP(E378,MAPEO!$B:$B,MAPEO!$C:$C,"",0)</f>
        <v>Calistenia</v>
      </c>
      <c r="G378" t="str">
        <f>_xlfn.XLOOKUP(E378,MAPEO!$B:$B,MAPEO!$D:$D,"",0)</f>
        <v>Lazaro</v>
      </c>
      <c r="H378">
        <v>20</v>
      </c>
    </row>
    <row r="379" spans="1:8" ht="15.75" customHeight="1">
      <c r="A379" s="19">
        <f t="shared" si="22"/>
        <v>4</v>
      </c>
      <c r="B379" s="17">
        <v>45748</v>
      </c>
      <c r="C379" s="19" t="str">
        <f t="shared" si="20"/>
        <v>04</v>
      </c>
      <c r="D379" t="str">
        <f t="shared" si="21"/>
        <v>ABRIL</v>
      </c>
      <c r="E379" s="4" t="s">
        <v>44</v>
      </c>
      <c r="F379" t="str">
        <f>_xlfn.XLOOKUP(E379,MAPEO!$B:$B,MAPEO!$C:$C,"",0)</f>
        <v>Calistenia</v>
      </c>
      <c r="G379" t="str">
        <f>_xlfn.XLOOKUP(E379,MAPEO!$B:$B,MAPEO!$D:$D,"",0)</f>
        <v>Paula</v>
      </c>
      <c r="H379">
        <v>8</v>
      </c>
    </row>
    <row r="380" spans="1:8" ht="15.75" customHeight="1">
      <c r="A380" s="19">
        <f t="shared" si="22"/>
        <v>4</v>
      </c>
      <c r="B380" s="17">
        <v>45748</v>
      </c>
      <c r="C380" s="19" t="str">
        <f t="shared" si="20"/>
        <v>04</v>
      </c>
      <c r="D380" t="str">
        <f t="shared" si="21"/>
        <v>ABRIL</v>
      </c>
      <c r="E380" s="5" t="s">
        <v>8</v>
      </c>
      <c r="F380" t="str">
        <f>_xlfn.XLOOKUP(E380,MAPEO!$B:$B,MAPEO!$C:$C,"",0)</f>
        <v>Boxeo</v>
      </c>
      <c r="G380" t="str">
        <f>_xlfn.XLOOKUP(E380,MAPEO!$B:$B,MAPEO!$D:$D,"",0)</f>
        <v>Mariano</v>
      </c>
      <c r="H380">
        <v>40</v>
      </c>
    </row>
    <row r="381" spans="1:8" ht="15.75" customHeight="1">
      <c r="A381" s="19">
        <f t="shared" si="22"/>
        <v>4</v>
      </c>
      <c r="B381" s="17">
        <v>45748</v>
      </c>
      <c r="C381" s="19" t="str">
        <f t="shared" si="20"/>
        <v>04</v>
      </c>
      <c r="D381" t="str">
        <f t="shared" si="21"/>
        <v>ABRIL</v>
      </c>
      <c r="E381" s="6" t="s">
        <v>9</v>
      </c>
      <c r="F381" t="str">
        <f>_xlfn.XLOOKUP(E381,MAPEO!$B:$B,MAPEO!$C:$C,"",0)</f>
        <v>Boxeo</v>
      </c>
      <c r="G381" t="str">
        <f>_xlfn.XLOOKUP(E381,MAPEO!$B:$B,MAPEO!$D:$D,"",0)</f>
        <v>tito</v>
      </c>
      <c r="H381">
        <v>16</v>
      </c>
    </row>
    <row r="382" spans="1:8" ht="15.75" customHeight="1">
      <c r="A382" s="19">
        <f t="shared" si="22"/>
        <v>4</v>
      </c>
      <c r="B382" s="17">
        <v>45748</v>
      </c>
      <c r="C382" s="19" t="str">
        <f t="shared" si="20"/>
        <v>04</v>
      </c>
      <c r="D382" t="str">
        <f t="shared" si="21"/>
        <v>ABRIL</v>
      </c>
      <c r="E382" s="1" t="s">
        <v>10</v>
      </c>
      <c r="F382" t="str">
        <f>_xlfn.XLOOKUP(E382,MAPEO!$B:$B,MAPEO!$C:$C,"",0)</f>
        <v xml:space="preserve">MMA </v>
      </c>
      <c r="G382" t="s">
        <v>56</v>
      </c>
      <c r="H382">
        <v>6</v>
      </c>
    </row>
    <row r="383" spans="1:8" ht="15.75" customHeight="1">
      <c r="A383" s="19">
        <f t="shared" si="22"/>
        <v>4</v>
      </c>
      <c r="B383" s="17">
        <v>45748</v>
      </c>
      <c r="C383" s="19" t="str">
        <f t="shared" si="20"/>
        <v>04</v>
      </c>
      <c r="D383" t="str">
        <f t="shared" si="21"/>
        <v>ABRIL</v>
      </c>
      <c r="E383" s="7" t="s">
        <v>11</v>
      </c>
      <c r="F383" t="str">
        <f>_xlfn.XLOOKUP(E383,MAPEO!$B:$B,MAPEO!$C:$C,"",0)</f>
        <v>Karate</v>
      </c>
      <c r="G383" t="s">
        <v>56</v>
      </c>
      <c r="H383">
        <v>2</v>
      </c>
    </row>
    <row r="384" spans="1:8" ht="15.75" customHeight="1">
      <c r="A384" s="19">
        <f t="shared" si="22"/>
        <v>4</v>
      </c>
      <c r="B384" s="17">
        <v>45748</v>
      </c>
      <c r="C384" s="19" t="str">
        <f t="shared" si="20"/>
        <v>04</v>
      </c>
      <c r="D384" t="str">
        <f t="shared" si="21"/>
        <v>ABRIL</v>
      </c>
      <c r="E384" s="12" t="s">
        <v>29</v>
      </c>
      <c r="F384" t="str">
        <f>_xlfn.XLOOKUP(E384,MAPEO!$B:$B,MAPEO!$C:$C,"",0)</f>
        <v>JIU JITSU</v>
      </c>
      <c r="G384" s="18" t="s">
        <v>56</v>
      </c>
      <c r="H384">
        <v>6</v>
      </c>
    </row>
    <row r="385" spans="1:8" ht="15.75" customHeight="1">
      <c r="A385" s="19">
        <f t="shared" si="22"/>
        <v>4</v>
      </c>
      <c r="B385" s="17">
        <v>45748</v>
      </c>
      <c r="C385" s="19" t="str">
        <f t="shared" si="20"/>
        <v>04</v>
      </c>
      <c r="D385" t="str">
        <f t="shared" si="21"/>
        <v>ABRIL</v>
      </c>
      <c r="E385" s="3" t="s">
        <v>12</v>
      </c>
      <c r="F385" t="str">
        <f>_xlfn.XLOOKUP(E385,MAPEO!$B:$B,MAPEO!$C:$C,"",0)</f>
        <v>Tela</v>
      </c>
      <c r="G385" t="s">
        <v>56</v>
      </c>
      <c r="H385">
        <v>8</v>
      </c>
    </row>
    <row r="386" spans="1:8" ht="15.75" customHeight="1">
      <c r="A386" s="19">
        <f t="shared" si="22"/>
        <v>4</v>
      </c>
      <c r="B386" s="17">
        <v>45748</v>
      </c>
      <c r="C386" s="19" t="str">
        <f t="shared" ref="C386:C443" si="23">TEXT(B386,"mm")</f>
        <v>04</v>
      </c>
      <c r="D386" t="str">
        <f t="shared" ref="D386:D443" si="24">UPPER(TEXT(B386,"mmmm"))</f>
        <v>ABRIL</v>
      </c>
      <c r="E386" s="8" t="s">
        <v>13</v>
      </c>
      <c r="F386" t="str">
        <f>_xlfn.XLOOKUP(E386,MAPEO!$B:$B,MAPEO!$C:$C,"",0)</f>
        <v>Lyra</v>
      </c>
      <c r="G386" t="s">
        <v>56</v>
      </c>
      <c r="H386">
        <v>10</v>
      </c>
    </row>
    <row r="387" spans="1:8" ht="15.75" customHeight="1">
      <c r="A387" s="19">
        <f t="shared" si="22"/>
        <v>4</v>
      </c>
      <c r="B387" s="17">
        <v>45748</v>
      </c>
      <c r="C387" s="19" t="str">
        <f t="shared" si="23"/>
        <v>04</v>
      </c>
      <c r="D387" t="str">
        <f t="shared" si="24"/>
        <v>ABRIL</v>
      </c>
      <c r="E387" s="9" t="s">
        <v>14</v>
      </c>
      <c r="F387" t="str">
        <f>_xlfn.XLOOKUP(E387,MAPEO!$B:$B,MAPEO!$C:$C,"",0)</f>
        <v>Yoga y Yoga Columpio</v>
      </c>
      <c r="G387" t="s">
        <v>56</v>
      </c>
      <c r="H387">
        <v>5</v>
      </c>
    </row>
    <row r="388" spans="1:8" ht="15.75" customHeight="1">
      <c r="A388" s="19">
        <f t="shared" si="22"/>
        <v>4</v>
      </c>
      <c r="B388" s="17">
        <v>45748</v>
      </c>
      <c r="C388" s="19" t="str">
        <f t="shared" si="23"/>
        <v>04</v>
      </c>
      <c r="D388" t="str">
        <f t="shared" si="24"/>
        <v>ABRIL</v>
      </c>
      <c r="E388" s="5" t="s">
        <v>15</v>
      </c>
      <c r="F388" t="str">
        <f>_xlfn.XLOOKUP(E388,MAPEO!$B:$B,MAPEO!$C:$C,"",0)</f>
        <v>Pole Sport</v>
      </c>
      <c r="G388" t="s">
        <v>56</v>
      </c>
      <c r="H388">
        <v>24</v>
      </c>
    </row>
    <row r="389" spans="1:8" ht="15.75" customHeight="1">
      <c r="A389" s="19">
        <f t="shared" si="22"/>
        <v>4</v>
      </c>
      <c r="B389" s="17">
        <v>45748</v>
      </c>
      <c r="C389" s="19" t="str">
        <f t="shared" si="23"/>
        <v>04</v>
      </c>
      <c r="D389" t="str">
        <f t="shared" si="24"/>
        <v>ABRIL</v>
      </c>
      <c r="E389" s="10" t="s">
        <v>16</v>
      </c>
      <c r="F389" t="str">
        <f>_xlfn.XLOOKUP(E389,MAPEO!$B:$B,MAPEO!$C:$C,"",0)</f>
        <v>Acro Kids</v>
      </c>
      <c r="G389" t="s">
        <v>56</v>
      </c>
      <c r="H389">
        <v>8</v>
      </c>
    </row>
    <row r="390" spans="1:8" ht="15.75" customHeight="1">
      <c r="A390" s="19">
        <f t="shared" si="22"/>
        <v>4</v>
      </c>
      <c r="B390" s="17">
        <v>45748</v>
      </c>
      <c r="C390" s="19" t="str">
        <f t="shared" si="23"/>
        <v>04</v>
      </c>
      <c r="D390" t="str">
        <f t="shared" si="24"/>
        <v>ABRIL</v>
      </c>
      <c r="E390" s="3" t="s">
        <v>17</v>
      </c>
      <c r="F390" t="str">
        <f>_xlfn.XLOOKUP(E390,MAPEO!$B:$B,MAPEO!$C:$C,"",0)</f>
        <v>Calistenia</v>
      </c>
      <c r="G390" t="s">
        <v>56</v>
      </c>
      <c r="H390">
        <v>4</v>
      </c>
    </row>
    <row r="391" spans="1:8" ht="15.75" customHeight="1">
      <c r="A391" s="19">
        <f t="shared" si="22"/>
        <v>4</v>
      </c>
      <c r="B391" s="17">
        <v>45748</v>
      </c>
      <c r="C391" s="19" t="str">
        <f t="shared" si="23"/>
        <v>04</v>
      </c>
      <c r="D391" t="str">
        <f t="shared" si="24"/>
        <v>ABRIL</v>
      </c>
      <c r="E391" s="11" t="s">
        <v>18</v>
      </c>
      <c r="F391" t="str">
        <f>_xlfn.XLOOKUP(E391,MAPEO!$B:$B,MAPEO!$C:$C,"",0)</f>
        <v>Movimiento Consciente</v>
      </c>
      <c r="G391" t="s">
        <v>56</v>
      </c>
      <c r="H391">
        <v>2</v>
      </c>
    </row>
    <row r="392" spans="1:8" ht="15.75" customHeight="1">
      <c r="A392" s="19">
        <f t="shared" si="22"/>
        <v>4</v>
      </c>
      <c r="B392" s="17">
        <v>45748</v>
      </c>
      <c r="C392" s="19" t="str">
        <f t="shared" si="23"/>
        <v>04</v>
      </c>
      <c r="D392" t="str">
        <f t="shared" si="24"/>
        <v>ABRIL</v>
      </c>
      <c r="E392" s="5" t="s">
        <v>19</v>
      </c>
      <c r="F392" t="str">
        <f>_xlfn.XLOOKUP(E392,MAPEO!$B:$B,MAPEO!$C:$C,"",0)</f>
        <v>Cross Traning</v>
      </c>
      <c r="G392" t="s">
        <v>56</v>
      </c>
      <c r="H392">
        <v>2</v>
      </c>
    </row>
    <row r="393" spans="1:8" ht="15.75" customHeight="1">
      <c r="A393" s="19">
        <f t="shared" si="22"/>
        <v>4</v>
      </c>
      <c r="B393" s="17">
        <v>45748</v>
      </c>
      <c r="C393" s="19" t="str">
        <f t="shared" si="23"/>
        <v>04</v>
      </c>
      <c r="D393" t="str">
        <f t="shared" si="24"/>
        <v>ABRIL</v>
      </c>
      <c r="E393" s="12" t="s">
        <v>20</v>
      </c>
      <c r="F393" t="str">
        <f>_xlfn.XLOOKUP(E393,MAPEO!$B:$B,MAPEO!$C:$C,"",0)</f>
        <v>Funcional</v>
      </c>
      <c r="G393" t="s">
        <v>56</v>
      </c>
      <c r="H393">
        <v>81</v>
      </c>
    </row>
    <row r="394" spans="1:8" ht="15.75" customHeight="1">
      <c r="A394" s="19">
        <f t="shared" si="22"/>
        <v>4</v>
      </c>
      <c r="B394" s="17">
        <v>45748</v>
      </c>
      <c r="C394" s="19" t="str">
        <f t="shared" si="23"/>
        <v>04</v>
      </c>
      <c r="D394" t="str">
        <f t="shared" si="24"/>
        <v>ABRIL</v>
      </c>
      <c r="E394" s="13" t="s">
        <v>21</v>
      </c>
      <c r="F394" t="str">
        <f>_xlfn.XLOOKUP(E394,MAPEO!$B:$B,MAPEO!$C:$C,"",0)</f>
        <v>EFA</v>
      </c>
      <c r="G394" t="s">
        <v>56</v>
      </c>
      <c r="H394">
        <v>14</v>
      </c>
    </row>
    <row r="395" spans="1:8" ht="15.75" customHeight="1">
      <c r="A395" s="19">
        <f t="shared" si="22"/>
        <v>4</v>
      </c>
      <c r="B395" s="17">
        <v>45748</v>
      </c>
      <c r="C395" s="19" t="str">
        <f t="shared" si="23"/>
        <v>04</v>
      </c>
      <c r="D395" t="str">
        <f t="shared" si="24"/>
        <v>ABRIL</v>
      </c>
      <c r="E395" s="14" t="s">
        <v>23</v>
      </c>
      <c r="F395" t="str">
        <f>_xlfn.XLOOKUP(E395,MAPEO!$B:$B,MAPEO!$C:$C,"",0)</f>
        <v>Personalizados</v>
      </c>
      <c r="G395" t="str">
        <f>_xlfn.XLOOKUP(E395,MAPEO!$B:$B,MAPEO!$D:$D,"",0)</f>
        <v>Marco</v>
      </c>
      <c r="H395">
        <v>14</v>
      </c>
    </row>
    <row r="396" spans="1:8" ht="15.75" customHeight="1">
      <c r="A396" s="19">
        <f t="shared" si="22"/>
        <v>4</v>
      </c>
      <c r="B396" s="17">
        <v>45748</v>
      </c>
      <c r="C396" s="19" t="str">
        <f t="shared" si="23"/>
        <v>04</v>
      </c>
      <c r="D396" t="str">
        <f t="shared" si="24"/>
        <v>ABRIL</v>
      </c>
      <c r="E396" s="5" t="s">
        <v>24</v>
      </c>
      <c r="F396" t="str">
        <f>_xlfn.XLOOKUP(E396,MAPEO!$B:$B,MAPEO!$C:$C,"",0)</f>
        <v>Personalizados</v>
      </c>
      <c r="G396" t="str">
        <f>_xlfn.XLOOKUP(E396,MAPEO!$B:$B,MAPEO!$D:$D,"",0)</f>
        <v>Lean</v>
      </c>
      <c r="H396">
        <v>1</v>
      </c>
    </row>
    <row r="397" spans="1:8" ht="15.75" customHeight="1">
      <c r="A397" s="19">
        <f t="shared" si="22"/>
        <v>4</v>
      </c>
      <c r="B397" s="17">
        <v>45748</v>
      </c>
      <c r="C397" s="19" t="str">
        <f t="shared" si="23"/>
        <v>04</v>
      </c>
      <c r="D397" t="str">
        <f t="shared" si="24"/>
        <v>ABRIL</v>
      </c>
      <c r="E397" s="12" t="s">
        <v>25</v>
      </c>
      <c r="F397" t="str">
        <f>_xlfn.XLOOKUP(E397,MAPEO!$B:$B,MAPEO!$C:$C,"",0)</f>
        <v>Nutricion</v>
      </c>
      <c r="G397" t="s">
        <v>56</v>
      </c>
    </row>
    <row r="398" spans="1:8" ht="15.75" customHeight="1">
      <c r="A398" s="19">
        <v>4</v>
      </c>
      <c r="B398" s="17">
        <v>45778</v>
      </c>
      <c r="C398" s="19" t="str">
        <f t="shared" si="23"/>
        <v>05</v>
      </c>
      <c r="D398" t="str">
        <f t="shared" si="24"/>
        <v>MAYO</v>
      </c>
      <c r="E398" s="1" t="s">
        <v>3</v>
      </c>
      <c r="F398" t="str">
        <f>_xlfn.XLOOKUP(E398,MAPEO!$B:$B,MAPEO!$C:$C,"",0)</f>
        <v>Calistenia</v>
      </c>
      <c r="G398" t="str">
        <f>_xlfn.XLOOKUP(E398,MAPEO!$B:$B,MAPEO!$D:$D,"",0)</f>
        <v>Edd</v>
      </c>
    </row>
    <row r="399" spans="1:8" ht="15.75" customHeight="1">
      <c r="A399" s="19">
        <f t="shared" ref="A399:A420" si="25">A398</f>
        <v>4</v>
      </c>
      <c r="B399" s="17">
        <v>45778</v>
      </c>
      <c r="C399" s="19" t="str">
        <f t="shared" si="23"/>
        <v>05</v>
      </c>
      <c r="D399" t="str">
        <f t="shared" si="24"/>
        <v>MAYO</v>
      </c>
      <c r="E399" s="2" t="s">
        <v>4</v>
      </c>
      <c r="F399" t="str">
        <f>_xlfn.XLOOKUP(E399,MAPEO!$B:$B,MAPEO!$C:$C,"",0)</f>
        <v>Calistenia</v>
      </c>
      <c r="G399" t="str">
        <f>_xlfn.XLOOKUP(E399,MAPEO!$B:$B,MAPEO!$D:$D,"",0)</f>
        <v>Martin</v>
      </c>
    </row>
    <row r="400" spans="1:8" ht="15.75" customHeight="1">
      <c r="A400" s="19">
        <f t="shared" si="25"/>
        <v>4</v>
      </c>
      <c r="B400" s="17">
        <v>45778</v>
      </c>
      <c r="C400" s="19" t="str">
        <f t="shared" si="23"/>
        <v>05</v>
      </c>
      <c r="D400" t="str">
        <f t="shared" si="24"/>
        <v>MAYO</v>
      </c>
      <c r="E400" s="3" t="s">
        <v>6</v>
      </c>
      <c r="F400" t="str">
        <f>_xlfn.XLOOKUP(E400,MAPEO!$B:$B,MAPEO!$C:$C,"",0)</f>
        <v>Calistenia</v>
      </c>
      <c r="G400" t="str">
        <f>_xlfn.XLOOKUP(E400,MAPEO!$B:$B,MAPEO!$D:$D,"",0)</f>
        <v>Agus</v>
      </c>
    </row>
    <row r="401" spans="1:7" ht="15.75" customHeight="1">
      <c r="A401" s="19">
        <f t="shared" si="25"/>
        <v>4</v>
      </c>
      <c r="B401" s="17">
        <v>45778</v>
      </c>
      <c r="C401" s="19" t="str">
        <f t="shared" si="23"/>
        <v>05</v>
      </c>
      <c r="D401" t="str">
        <f t="shared" si="24"/>
        <v>MAYO</v>
      </c>
      <c r="E401" s="4" t="s">
        <v>7</v>
      </c>
      <c r="F401" t="str">
        <f>_xlfn.XLOOKUP(E401,MAPEO!$B:$B,MAPEO!$C:$C,"",0)</f>
        <v>Calistenia</v>
      </c>
      <c r="G401" t="str">
        <f>_xlfn.XLOOKUP(E401,MAPEO!$B:$B,MAPEO!$D:$D,"",0)</f>
        <v>Lazaro</v>
      </c>
    </row>
    <row r="402" spans="1:7" ht="15.75" customHeight="1">
      <c r="A402" s="19">
        <f t="shared" si="25"/>
        <v>4</v>
      </c>
      <c r="B402" s="17">
        <v>45778</v>
      </c>
      <c r="C402" s="19" t="str">
        <f t="shared" si="23"/>
        <v>05</v>
      </c>
      <c r="D402" t="str">
        <f t="shared" si="24"/>
        <v>MAYO</v>
      </c>
      <c r="E402" s="4" t="s">
        <v>44</v>
      </c>
      <c r="F402" t="str">
        <f>_xlfn.XLOOKUP(E402,MAPEO!$B:$B,MAPEO!$C:$C,"",0)</f>
        <v>Calistenia</v>
      </c>
      <c r="G402" t="str">
        <f>_xlfn.XLOOKUP(E402,MAPEO!$B:$B,MAPEO!$D:$D,"",0)</f>
        <v>Paula</v>
      </c>
    </row>
    <row r="403" spans="1:7" ht="15.75" customHeight="1">
      <c r="A403" s="19">
        <f t="shared" si="25"/>
        <v>4</v>
      </c>
      <c r="B403" s="17">
        <v>45778</v>
      </c>
      <c r="C403" s="19" t="str">
        <f t="shared" si="23"/>
        <v>05</v>
      </c>
      <c r="D403" t="str">
        <f t="shared" si="24"/>
        <v>MAYO</v>
      </c>
      <c r="E403" s="5" t="s">
        <v>8</v>
      </c>
      <c r="F403" t="str">
        <f>_xlfn.XLOOKUP(E403,MAPEO!$B:$B,MAPEO!$C:$C,"",0)</f>
        <v>Boxeo</v>
      </c>
      <c r="G403" t="str">
        <f>_xlfn.XLOOKUP(E403,MAPEO!$B:$B,MAPEO!$D:$D,"",0)</f>
        <v>Mariano</v>
      </c>
    </row>
    <row r="404" spans="1:7" ht="15.75" customHeight="1">
      <c r="A404" s="19">
        <f t="shared" si="25"/>
        <v>4</v>
      </c>
      <c r="B404" s="17">
        <v>45778</v>
      </c>
      <c r="C404" s="19" t="str">
        <f t="shared" si="23"/>
        <v>05</v>
      </c>
      <c r="D404" t="str">
        <f t="shared" si="24"/>
        <v>MAYO</v>
      </c>
      <c r="E404" s="6" t="s">
        <v>9</v>
      </c>
      <c r="F404" t="str">
        <f>_xlfn.XLOOKUP(E404,MAPEO!$B:$B,MAPEO!$C:$C,"",0)</f>
        <v>Boxeo</v>
      </c>
      <c r="G404" t="str">
        <f>_xlfn.XLOOKUP(E404,MAPEO!$B:$B,MAPEO!$D:$D,"",0)</f>
        <v>tito</v>
      </c>
    </row>
    <row r="405" spans="1:7" ht="15.75" customHeight="1">
      <c r="A405" s="19">
        <f t="shared" si="25"/>
        <v>4</v>
      </c>
      <c r="B405" s="17">
        <v>45778</v>
      </c>
      <c r="C405" s="19" t="str">
        <f t="shared" si="23"/>
        <v>05</v>
      </c>
      <c r="D405" t="str">
        <f t="shared" si="24"/>
        <v>MAYO</v>
      </c>
      <c r="E405" s="1" t="s">
        <v>10</v>
      </c>
      <c r="F405" t="str">
        <f>_xlfn.XLOOKUP(E405,MAPEO!$B:$B,MAPEO!$C:$C,"",0)</f>
        <v xml:space="preserve">MMA </v>
      </c>
      <c r="G405" t="s">
        <v>56</v>
      </c>
    </row>
    <row r="406" spans="1:7" ht="15.75" customHeight="1">
      <c r="A406" s="19">
        <f t="shared" si="25"/>
        <v>4</v>
      </c>
      <c r="B406" s="17">
        <v>45778</v>
      </c>
      <c r="C406" s="19" t="str">
        <f t="shared" si="23"/>
        <v>05</v>
      </c>
      <c r="D406" t="str">
        <f t="shared" si="24"/>
        <v>MAYO</v>
      </c>
      <c r="E406" s="7" t="s">
        <v>11</v>
      </c>
      <c r="F406" t="str">
        <f>_xlfn.XLOOKUP(E406,MAPEO!$B:$B,MAPEO!$C:$C,"",0)</f>
        <v>Karate</v>
      </c>
      <c r="G406" t="s">
        <v>56</v>
      </c>
    </row>
    <row r="407" spans="1:7" ht="15.75" customHeight="1">
      <c r="A407" s="19">
        <f t="shared" si="25"/>
        <v>4</v>
      </c>
      <c r="B407" s="17">
        <v>45778</v>
      </c>
      <c r="C407" s="19" t="str">
        <f t="shared" si="23"/>
        <v>05</v>
      </c>
      <c r="D407" t="str">
        <f t="shared" si="24"/>
        <v>MAYO</v>
      </c>
      <c r="E407" s="12" t="s">
        <v>22</v>
      </c>
      <c r="F407" t="str">
        <f>_xlfn.XLOOKUP(E407,MAPEO!$B:$B,MAPEO!$C:$C,"",0)</f>
        <v>Taekwondo</v>
      </c>
      <c r="G407" t="s">
        <v>56</v>
      </c>
    </row>
    <row r="408" spans="1:7" ht="15.75" customHeight="1">
      <c r="A408" s="19">
        <f t="shared" si="25"/>
        <v>4</v>
      </c>
      <c r="B408" s="17">
        <v>45778</v>
      </c>
      <c r="C408" s="19" t="str">
        <f t="shared" si="23"/>
        <v>05</v>
      </c>
      <c r="D408" t="str">
        <f t="shared" si="24"/>
        <v>MAYO</v>
      </c>
      <c r="E408" s="3" t="s">
        <v>12</v>
      </c>
      <c r="F408" t="str">
        <f>_xlfn.XLOOKUP(E408,MAPEO!$B:$B,MAPEO!$C:$C,"",0)</f>
        <v>Tela</v>
      </c>
      <c r="G408" t="s">
        <v>56</v>
      </c>
    </row>
    <row r="409" spans="1:7" ht="15.75" customHeight="1">
      <c r="A409" s="19">
        <f t="shared" si="25"/>
        <v>4</v>
      </c>
      <c r="B409" s="17">
        <v>45778</v>
      </c>
      <c r="C409" s="19" t="str">
        <f t="shared" si="23"/>
        <v>05</v>
      </c>
      <c r="D409" t="str">
        <f t="shared" si="24"/>
        <v>MAYO</v>
      </c>
      <c r="E409" s="8" t="s">
        <v>13</v>
      </c>
      <c r="F409" t="str">
        <f>_xlfn.XLOOKUP(E409,MAPEO!$B:$B,MAPEO!$C:$C,"",0)</f>
        <v>Lyra</v>
      </c>
      <c r="G409" t="s">
        <v>56</v>
      </c>
    </row>
    <row r="410" spans="1:7" ht="15.75" customHeight="1">
      <c r="A410" s="19">
        <f t="shared" si="25"/>
        <v>4</v>
      </c>
      <c r="B410" s="17">
        <v>45778</v>
      </c>
      <c r="C410" s="19" t="str">
        <f t="shared" si="23"/>
        <v>05</v>
      </c>
      <c r="D410" t="str">
        <f t="shared" si="24"/>
        <v>MAYO</v>
      </c>
      <c r="E410" s="9" t="s">
        <v>14</v>
      </c>
      <c r="F410" t="str">
        <f>_xlfn.XLOOKUP(E410,MAPEO!$B:$B,MAPEO!$C:$C,"",0)</f>
        <v>Yoga y Yoga Columpio</v>
      </c>
      <c r="G410" t="s">
        <v>56</v>
      </c>
    </row>
    <row r="411" spans="1:7" ht="15.75" customHeight="1">
      <c r="A411" s="19">
        <f t="shared" si="25"/>
        <v>4</v>
      </c>
      <c r="B411" s="17">
        <v>45778</v>
      </c>
      <c r="C411" s="19" t="str">
        <f t="shared" si="23"/>
        <v>05</v>
      </c>
      <c r="D411" t="str">
        <f t="shared" si="24"/>
        <v>MAYO</v>
      </c>
      <c r="E411" s="5" t="s">
        <v>15</v>
      </c>
      <c r="F411" t="str">
        <f>_xlfn.XLOOKUP(E411,MAPEO!$B:$B,MAPEO!$C:$C,"",0)</f>
        <v>Pole Sport</v>
      </c>
      <c r="G411" t="s">
        <v>56</v>
      </c>
    </row>
    <row r="412" spans="1:7" ht="15.75" customHeight="1">
      <c r="A412" s="19">
        <f t="shared" si="25"/>
        <v>4</v>
      </c>
      <c r="B412" s="17">
        <v>45778</v>
      </c>
      <c r="C412" s="19" t="str">
        <f t="shared" si="23"/>
        <v>05</v>
      </c>
      <c r="D412" t="str">
        <f t="shared" si="24"/>
        <v>MAYO</v>
      </c>
      <c r="E412" s="10" t="s">
        <v>16</v>
      </c>
      <c r="F412" t="str">
        <f>_xlfn.XLOOKUP(E412,MAPEO!$B:$B,MAPEO!$C:$C,"",0)</f>
        <v>Acro Kids</v>
      </c>
      <c r="G412" t="s">
        <v>56</v>
      </c>
    </row>
    <row r="413" spans="1:7" ht="15.75" customHeight="1">
      <c r="A413" s="19">
        <f t="shared" si="25"/>
        <v>4</v>
      </c>
      <c r="B413" s="17">
        <v>45778</v>
      </c>
      <c r="C413" s="19" t="str">
        <f t="shared" si="23"/>
        <v>05</v>
      </c>
      <c r="D413" t="str">
        <f t="shared" si="24"/>
        <v>MAYO</v>
      </c>
      <c r="E413" s="3" t="s">
        <v>17</v>
      </c>
      <c r="F413" t="str">
        <f>_xlfn.XLOOKUP(E413,MAPEO!$B:$B,MAPEO!$C:$C,"",0)</f>
        <v>Calistenia</v>
      </c>
      <c r="G413" t="s">
        <v>56</v>
      </c>
    </row>
    <row r="414" spans="1:7" ht="15.75" customHeight="1">
      <c r="A414" s="19">
        <f t="shared" si="25"/>
        <v>4</v>
      </c>
      <c r="B414" s="17">
        <v>45778</v>
      </c>
      <c r="C414" s="19" t="str">
        <f t="shared" si="23"/>
        <v>05</v>
      </c>
      <c r="D414" t="str">
        <f t="shared" si="24"/>
        <v>MAYO</v>
      </c>
      <c r="E414" s="11" t="s">
        <v>18</v>
      </c>
      <c r="F414" t="str">
        <f>_xlfn.XLOOKUP(E414,MAPEO!$B:$B,MAPEO!$C:$C,"",0)</f>
        <v>Movimiento Consciente</v>
      </c>
      <c r="G414" t="s">
        <v>56</v>
      </c>
    </row>
    <row r="415" spans="1:7" ht="15.75" customHeight="1">
      <c r="A415" s="19">
        <f t="shared" si="25"/>
        <v>4</v>
      </c>
      <c r="B415" s="17">
        <v>45778</v>
      </c>
      <c r="C415" s="19" t="str">
        <f t="shared" si="23"/>
        <v>05</v>
      </c>
      <c r="D415" t="str">
        <f t="shared" si="24"/>
        <v>MAYO</v>
      </c>
      <c r="E415" s="5" t="s">
        <v>19</v>
      </c>
      <c r="F415" t="str">
        <f>_xlfn.XLOOKUP(E415,MAPEO!$B:$B,MAPEO!$C:$C,"",0)</f>
        <v>Cross Traning</v>
      </c>
      <c r="G415" t="s">
        <v>56</v>
      </c>
    </row>
    <row r="416" spans="1:7" ht="15.75" customHeight="1">
      <c r="A416" s="19">
        <f t="shared" si="25"/>
        <v>4</v>
      </c>
      <c r="B416" s="17">
        <v>45778</v>
      </c>
      <c r="C416" s="19" t="str">
        <f t="shared" si="23"/>
        <v>05</v>
      </c>
      <c r="D416" t="str">
        <f t="shared" si="24"/>
        <v>MAYO</v>
      </c>
      <c r="E416" s="12" t="s">
        <v>20</v>
      </c>
      <c r="F416" t="str">
        <f>_xlfn.XLOOKUP(E416,MAPEO!$B:$B,MAPEO!$C:$C,"",0)</f>
        <v>Funcional</v>
      </c>
      <c r="G416" t="s">
        <v>56</v>
      </c>
    </row>
    <row r="417" spans="1:7" ht="15.75" customHeight="1">
      <c r="A417" s="19">
        <f t="shared" si="25"/>
        <v>4</v>
      </c>
      <c r="B417" s="17">
        <v>45778</v>
      </c>
      <c r="C417" s="19" t="str">
        <f t="shared" si="23"/>
        <v>05</v>
      </c>
      <c r="D417" t="str">
        <f t="shared" si="24"/>
        <v>MAYO</v>
      </c>
      <c r="E417" s="13" t="s">
        <v>21</v>
      </c>
      <c r="F417" t="str">
        <f>_xlfn.XLOOKUP(E417,MAPEO!$B:$B,MAPEO!$C:$C,"",0)</f>
        <v>EFA</v>
      </c>
      <c r="G417" t="s">
        <v>56</v>
      </c>
    </row>
    <row r="418" spans="1:7" ht="15.75" customHeight="1">
      <c r="A418" s="19">
        <f t="shared" si="25"/>
        <v>4</v>
      </c>
      <c r="B418" s="17">
        <v>45778</v>
      </c>
      <c r="C418" s="19" t="str">
        <f t="shared" si="23"/>
        <v>05</v>
      </c>
      <c r="D418" t="str">
        <f t="shared" si="24"/>
        <v>MAYO</v>
      </c>
      <c r="E418" s="14" t="s">
        <v>23</v>
      </c>
      <c r="F418" t="str">
        <f>_xlfn.XLOOKUP(E418,MAPEO!$B:$B,MAPEO!$C:$C,"",0)</f>
        <v>Personalizados</v>
      </c>
      <c r="G418" t="str">
        <f>_xlfn.XLOOKUP(E418,MAPEO!$B:$B,MAPEO!$D:$D,"",0)</f>
        <v>Marco</v>
      </c>
    </row>
    <row r="419" spans="1:7" ht="15.75" customHeight="1">
      <c r="A419" s="19">
        <f t="shared" si="25"/>
        <v>4</v>
      </c>
      <c r="B419" s="17">
        <v>45778</v>
      </c>
      <c r="C419" s="19" t="str">
        <f t="shared" si="23"/>
        <v>05</v>
      </c>
      <c r="D419" t="str">
        <f t="shared" si="24"/>
        <v>MAYO</v>
      </c>
      <c r="E419" s="5" t="s">
        <v>24</v>
      </c>
      <c r="F419" t="str">
        <f>_xlfn.XLOOKUP(E419,MAPEO!$B:$B,MAPEO!$C:$C,"",0)</f>
        <v>Personalizados</v>
      </c>
      <c r="G419" t="str">
        <f>_xlfn.XLOOKUP(E419,MAPEO!$B:$B,MAPEO!$D:$D,"",0)</f>
        <v>Lean</v>
      </c>
    </row>
    <row r="420" spans="1:7" ht="15.75" customHeight="1">
      <c r="A420" s="19">
        <f t="shared" si="25"/>
        <v>4</v>
      </c>
      <c r="B420" s="17">
        <v>45778</v>
      </c>
      <c r="C420" s="19" t="str">
        <f t="shared" si="23"/>
        <v>05</v>
      </c>
      <c r="D420" t="str">
        <f t="shared" si="24"/>
        <v>MAYO</v>
      </c>
      <c r="E420" s="12" t="s">
        <v>25</v>
      </c>
      <c r="F420" t="str">
        <f>_xlfn.XLOOKUP(E420,MAPEO!$B:$B,MAPEO!$C:$C,"",0)</f>
        <v>Nutricion</v>
      </c>
      <c r="G420" t="s">
        <v>56</v>
      </c>
    </row>
    <row r="421" spans="1:7" ht="15.75" customHeight="1">
      <c r="A421" s="19">
        <v>4</v>
      </c>
      <c r="B421" s="17">
        <v>45809</v>
      </c>
      <c r="C421" s="19" t="str">
        <f t="shared" si="23"/>
        <v>06</v>
      </c>
      <c r="D421" t="str">
        <f t="shared" si="24"/>
        <v>JUNIO</v>
      </c>
      <c r="E421" s="1" t="s">
        <v>3</v>
      </c>
      <c r="F421" t="str">
        <f>_xlfn.XLOOKUP(E421,MAPEO!$B:$B,MAPEO!$C:$C,"",0)</f>
        <v>Calistenia</v>
      </c>
      <c r="G421" t="str">
        <f>_xlfn.XLOOKUP(E421,MAPEO!$B:$B,MAPEO!$D:$D,"",0)</f>
        <v>Edd</v>
      </c>
    </row>
    <row r="422" spans="1:7" ht="15.75" customHeight="1">
      <c r="A422" s="19">
        <f t="shared" ref="A422:A443" si="26">A421</f>
        <v>4</v>
      </c>
      <c r="B422" s="17">
        <v>45809</v>
      </c>
      <c r="C422" s="19" t="str">
        <f t="shared" si="23"/>
        <v>06</v>
      </c>
      <c r="D422" t="str">
        <f t="shared" si="24"/>
        <v>JUNIO</v>
      </c>
      <c r="E422" s="2" t="s">
        <v>4</v>
      </c>
      <c r="F422" t="str">
        <f>_xlfn.XLOOKUP(E422,MAPEO!$B:$B,MAPEO!$C:$C,"",0)</f>
        <v>Calistenia</v>
      </c>
      <c r="G422" t="str">
        <f>_xlfn.XLOOKUP(E422,MAPEO!$B:$B,MAPEO!$D:$D,"",0)</f>
        <v>Martin</v>
      </c>
    </row>
    <row r="423" spans="1:7" ht="15.75" customHeight="1">
      <c r="A423" s="19">
        <f t="shared" si="26"/>
        <v>4</v>
      </c>
      <c r="B423" s="17">
        <v>45809</v>
      </c>
      <c r="C423" s="19" t="str">
        <f t="shared" si="23"/>
        <v>06</v>
      </c>
      <c r="D423" t="str">
        <f t="shared" si="24"/>
        <v>JUNIO</v>
      </c>
      <c r="E423" s="3" t="s">
        <v>6</v>
      </c>
      <c r="F423" t="str">
        <f>_xlfn.XLOOKUP(E423,MAPEO!$B:$B,MAPEO!$C:$C,"",0)</f>
        <v>Calistenia</v>
      </c>
      <c r="G423" t="str">
        <f>_xlfn.XLOOKUP(E423,MAPEO!$B:$B,MAPEO!$D:$D,"",0)</f>
        <v>Agus</v>
      </c>
    </row>
    <row r="424" spans="1:7" ht="15.75" customHeight="1">
      <c r="A424" s="19">
        <f t="shared" si="26"/>
        <v>4</v>
      </c>
      <c r="B424" s="17">
        <v>45809</v>
      </c>
      <c r="C424" s="19" t="str">
        <f t="shared" si="23"/>
        <v>06</v>
      </c>
      <c r="D424" t="str">
        <f t="shared" si="24"/>
        <v>JUNIO</v>
      </c>
      <c r="E424" s="4" t="s">
        <v>7</v>
      </c>
      <c r="F424" t="str">
        <f>_xlfn.XLOOKUP(E424,MAPEO!$B:$B,MAPEO!$C:$C,"",0)</f>
        <v>Calistenia</v>
      </c>
      <c r="G424" t="str">
        <f>_xlfn.XLOOKUP(E424,MAPEO!$B:$B,MAPEO!$D:$D,"",0)</f>
        <v>Lazaro</v>
      </c>
    </row>
    <row r="425" spans="1:7" ht="15.75" customHeight="1">
      <c r="A425" s="19">
        <f t="shared" si="26"/>
        <v>4</v>
      </c>
      <c r="B425" s="17">
        <v>45809</v>
      </c>
      <c r="C425" s="19" t="str">
        <f t="shared" si="23"/>
        <v>06</v>
      </c>
      <c r="D425" t="str">
        <f t="shared" si="24"/>
        <v>JUNIO</v>
      </c>
      <c r="E425" s="4" t="s">
        <v>44</v>
      </c>
      <c r="F425" t="str">
        <f>_xlfn.XLOOKUP(E425,MAPEO!$B:$B,MAPEO!$C:$C,"",0)</f>
        <v>Calistenia</v>
      </c>
      <c r="G425" t="str">
        <f>_xlfn.XLOOKUP(E425,MAPEO!$B:$B,MAPEO!$D:$D,"",0)</f>
        <v>Paula</v>
      </c>
    </row>
    <row r="426" spans="1:7" ht="15.75" customHeight="1">
      <c r="A426" s="19">
        <f t="shared" si="26"/>
        <v>4</v>
      </c>
      <c r="B426" s="17">
        <v>45809</v>
      </c>
      <c r="C426" s="19" t="str">
        <f t="shared" si="23"/>
        <v>06</v>
      </c>
      <c r="D426" t="str">
        <f t="shared" si="24"/>
        <v>JUNIO</v>
      </c>
      <c r="E426" s="5" t="s">
        <v>8</v>
      </c>
      <c r="F426" t="str">
        <f>_xlfn.XLOOKUP(E426,MAPEO!$B:$B,MAPEO!$C:$C,"",0)</f>
        <v>Boxeo</v>
      </c>
      <c r="G426" t="str">
        <f>_xlfn.XLOOKUP(E426,MAPEO!$B:$B,MAPEO!$D:$D,"",0)</f>
        <v>Mariano</v>
      </c>
    </row>
    <row r="427" spans="1:7" ht="15.75" customHeight="1">
      <c r="A427" s="19">
        <f t="shared" si="26"/>
        <v>4</v>
      </c>
      <c r="B427" s="17">
        <v>45809</v>
      </c>
      <c r="C427" s="19" t="str">
        <f t="shared" si="23"/>
        <v>06</v>
      </c>
      <c r="D427" t="str">
        <f t="shared" si="24"/>
        <v>JUNIO</v>
      </c>
      <c r="E427" s="6" t="s">
        <v>9</v>
      </c>
      <c r="F427" t="str">
        <f>_xlfn.XLOOKUP(E427,MAPEO!$B:$B,MAPEO!$C:$C,"",0)</f>
        <v>Boxeo</v>
      </c>
      <c r="G427" t="str">
        <f>_xlfn.XLOOKUP(E427,MAPEO!$B:$B,MAPEO!$D:$D,"",0)</f>
        <v>tito</v>
      </c>
    </row>
    <row r="428" spans="1:7" ht="15.75" customHeight="1">
      <c r="A428" s="19">
        <f t="shared" si="26"/>
        <v>4</v>
      </c>
      <c r="B428" s="17">
        <v>45809</v>
      </c>
      <c r="C428" s="19" t="str">
        <f t="shared" si="23"/>
        <v>06</v>
      </c>
      <c r="D428" t="str">
        <f t="shared" si="24"/>
        <v>JUNIO</v>
      </c>
      <c r="E428" s="1" t="s">
        <v>10</v>
      </c>
      <c r="F428" t="str">
        <f>_xlfn.XLOOKUP(E428,MAPEO!$B:$B,MAPEO!$C:$C,"",0)</f>
        <v xml:space="preserve">MMA </v>
      </c>
      <c r="G428" t="s">
        <v>56</v>
      </c>
    </row>
    <row r="429" spans="1:7" ht="15.75" customHeight="1">
      <c r="A429" s="19">
        <f t="shared" si="26"/>
        <v>4</v>
      </c>
      <c r="B429" s="17">
        <v>45809</v>
      </c>
      <c r="C429" s="19" t="str">
        <f t="shared" si="23"/>
        <v>06</v>
      </c>
      <c r="D429" t="str">
        <f t="shared" si="24"/>
        <v>JUNIO</v>
      </c>
      <c r="E429" s="7" t="s">
        <v>11</v>
      </c>
      <c r="F429" t="str">
        <f>_xlfn.XLOOKUP(E429,MAPEO!$B:$B,MAPEO!$C:$C,"",0)</f>
        <v>Karate</v>
      </c>
      <c r="G429" t="s">
        <v>56</v>
      </c>
    </row>
    <row r="430" spans="1:7" ht="15.75" customHeight="1">
      <c r="A430" s="19">
        <f t="shared" si="26"/>
        <v>4</v>
      </c>
      <c r="B430" s="17">
        <v>45809</v>
      </c>
      <c r="C430" s="19" t="str">
        <f t="shared" si="23"/>
        <v>06</v>
      </c>
      <c r="D430" t="str">
        <f t="shared" si="24"/>
        <v>JUNIO</v>
      </c>
      <c r="E430" s="12" t="s">
        <v>22</v>
      </c>
      <c r="F430" t="str">
        <f>_xlfn.XLOOKUP(E430,MAPEO!$B:$B,MAPEO!$C:$C,"",0)</f>
        <v>Taekwondo</v>
      </c>
      <c r="G430" t="s">
        <v>56</v>
      </c>
    </row>
    <row r="431" spans="1:7" ht="15.75" customHeight="1">
      <c r="A431" s="19">
        <f t="shared" si="26"/>
        <v>4</v>
      </c>
      <c r="B431" s="17">
        <v>45809</v>
      </c>
      <c r="C431" s="19" t="str">
        <f t="shared" si="23"/>
        <v>06</v>
      </c>
      <c r="D431" t="str">
        <f t="shared" si="24"/>
        <v>JUNIO</v>
      </c>
      <c r="E431" s="3" t="s">
        <v>12</v>
      </c>
      <c r="F431" t="str">
        <f>_xlfn.XLOOKUP(E431,MAPEO!$B:$B,MAPEO!$C:$C,"",0)</f>
        <v>Tela</v>
      </c>
      <c r="G431" t="s">
        <v>56</v>
      </c>
    </row>
    <row r="432" spans="1:7" ht="15.75" customHeight="1">
      <c r="A432" s="19">
        <f t="shared" si="26"/>
        <v>4</v>
      </c>
      <c r="B432" s="17">
        <v>45809</v>
      </c>
      <c r="C432" s="19" t="str">
        <f t="shared" si="23"/>
        <v>06</v>
      </c>
      <c r="D432" t="str">
        <f t="shared" si="24"/>
        <v>JUNIO</v>
      </c>
      <c r="E432" s="8" t="s">
        <v>13</v>
      </c>
      <c r="F432" t="str">
        <f>_xlfn.XLOOKUP(E432,MAPEO!$B:$B,MAPEO!$C:$C,"",0)</f>
        <v>Lyra</v>
      </c>
      <c r="G432" t="s">
        <v>56</v>
      </c>
    </row>
    <row r="433" spans="1:7" ht="15.75" customHeight="1">
      <c r="A433" s="19">
        <f t="shared" si="26"/>
        <v>4</v>
      </c>
      <c r="B433" s="17">
        <v>45809</v>
      </c>
      <c r="C433" s="19" t="str">
        <f t="shared" si="23"/>
        <v>06</v>
      </c>
      <c r="D433" t="str">
        <f t="shared" si="24"/>
        <v>JUNIO</v>
      </c>
      <c r="E433" s="9" t="s">
        <v>14</v>
      </c>
      <c r="F433" t="str">
        <f>_xlfn.XLOOKUP(E433,MAPEO!$B:$B,MAPEO!$C:$C,"",0)</f>
        <v>Yoga y Yoga Columpio</v>
      </c>
      <c r="G433" t="s">
        <v>56</v>
      </c>
    </row>
    <row r="434" spans="1:7" ht="15.75" customHeight="1">
      <c r="A434" s="19">
        <f t="shared" si="26"/>
        <v>4</v>
      </c>
      <c r="B434" s="17">
        <v>45809</v>
      </c>
      <c r="C434" s="19" t="str">
        <f t="shared" si="23"/>
        <v>06</v>
      </c>
      <c r="D434" t="str">
        <f t="shared" si="24"/>
        <v>JUNIO</v>
      </c>
      <c r="E434" s="5" t="s">
        <v>15</v>
      </c>
      <c r="F434" t="str">
        <f>_xlfn.XLOOKUP(E434,MAPEO!$B:$B,MAPEO!$C:$C,"",0)</f>
        <v>Pole Sport</v>
      </c>
      <c r="G434" t="s">
        <v>56</v>
      </c>
    </row>
    <row r="435" spans="1:7" ht="15.75" customHeight="1">
      <c r="A435" s="19">
        <f t="shared" si="26"/>
        <v>4</v>
      </c>
      <c r="B435" s="17">
        <v>45809</v>
      </c>
      <c r="C435" s="19" t="str">
        <f t="shared" si="23"/>
        <v>06</v>
      </c>
      <c r="D435" t="str">
        <f t="shared" si="24"/>
        <v>JUNIO</v>
      </c>
      <c r="E435" s="10" t="s">
        <v>16</v>
      </c>
      <c r="F435" t="str">
        <f>_xlfn.XLOOKUP(E435,MAPEO!$B:$B,MAPEO!$C:$C,"",0)</f>
        <v>Acro Kids</v>
      </c>
      <c r="G435" t="s">
        <v>56</v>
      </c>
    </row>
    <row r="436" spans="1:7" ht="15.75" customHeight="1">
      <c r="A436" s="19">
        <f t="shared" si="26"/>
        <v>4</v>
      </c>
      <c r="B436" s="17">
        <v>45809</v>
      </c>
      <c r="C436" s="19" t="str">
        <f t="shared" si="23"/>
        <v>06</v>
      </c>
      <c r="D436" t="str">
        <f t="shared" si="24"/>
        <v>JUNIO</v>
      </c>
      <c r="E436" s="3" t="s">
        <v>17</v>
      </c>
      <c r="F436" t="str">
        <f>_xlfn.XLOOKUP(E436,MAPEO!$B:$B,MAPEO!$C:$C,"",0)</f>
        <v>Calistenia</v>
      </c>
      <c r="G436" t="s">
        <v>56</v>
      </c>
    </row>
    <row r="437" spans="1:7" ht="15.75" customHeight="1">
      <c r="A437" s="19">
        <f t="shared" si="26"/>
        <v>4</v>
      </c>
      <c r="B437" s="17">
        <v>45809</v>
      </c>
      <c r="C437" s="19" t="str">
        <f t="shared" si="23"/>
        <v>06</v>
      </c>
      <c r="D437" t="str">
        <f t="shared" si="24"/>
        <v>JUNIO</v>
      </c>
      <c r="E437" s="11" t="s">
        <v>18</v>
      </c>
      <c r="F437" t="str">
        <f>_xlfn.XLOOKUP(E437,MAPEO!$B:$B,MAPEO!$C:$C,"",0)</f>
        <v>Movimiento Consciente</v>
      </c>
      <c r="G437" t="s">
        <v>56</v>
      </c>
    </row>
    <row r="438" spans="1:7" ht="15.75" customHeight="1">
      <c r="A438" s="19">
        <f t="shared" si="26"/>
        <v>4</v>
      </c>
      <c r="B438" s="17">
        <v>45809</v>
      </c>
      <c r="C438" s="19" t="str">
        <f t="shared" si="23"/>
        <v>06</v>
      </c>
      <c r="D438" t="str">
        <f t="shared" si="24"/>
        <v>JUNIO</v>
      </c>
      <c r="E438" s="5" t="s">
        <v>19</v>
      </c>
      <c r="F438" t="str">
        <f>_xlfn.XLOOKUP(E438,MAPEO!$B:$B,MAPEO!$C:$C,"",0)</f>
        <v>Cross Traning</v>
      </c>
      <c r="G438" t="s">
        <v>56</v>
      </c>
    </row>
    <row r="439" spans="1:7" ht="15.75" customHeight="1">
      <c r="A439" s="19">
        <f t="shared" si="26"/>
        <v>4</v>
      </c>
      <c r="B439" s="17">
        <v>45809</v>
      </c>
      <c r="C439" s="19" t="str">
        <f t="shared" si="23"/>
        <v>06</v>
      </c>
      <c r="D439" t="str">
        <f t="shared" si="24"/>
        <v>JUNIO</v>
      </c>
      <c r="E439" s="12" t="s">
        <v>20</v>
      </c>
      <c r="F439" t="str">
        <f>_xlfn.XLOOKUP(E439,MAPEO!$B:$B,MAPEO!$C:$C,"",0)</f>
        <v>Funcional</v>
      </c>
      <c r="G439" t="s">
        <v>56</v>
      </c>
    </row>
    <row r="440" spans="1:7" ht="15.75" customHeight="1">
      <c r="A440" s="19">
        <f t="shared" si="26"/>
        <v>4</v>
      </c>
      <c r="B440" s="17">
        <v>45809</v>
      </c>
      <c r="C440" s="19" t="str">
        <f t="shared" si="23"/>
        <v>06</v>
      </c>
      <c r="D440" t="str">
        <f t="shared" si="24"/>
        <v>JUNIO</v>
      </c>
      <c r="E440" s="13" t="s">
        <v>21</v>
      </c>
      <c r="F440" t="str">
        <f>_xlfn.XLOOKUP(E440,MAPEO!$B:$B,MAPEO!$C:$C,"",0)</f>
        <v>EFA</v>
      </c>
      <c r="G440" t="s">
        <v>56</v>
      </c>
    </row>
    <row r="441" spans="1:7" ht="15.75" customHeight="1">
      <c r="A441" s="19">
        <f t="shared" si="26"/>
        <v>4</v>
      </c>
      <c r="B441" s="17">
        <v>45809</v>
      </c>
      <c r="C441" s="19" t="str">
        <f t="shared" si="23"/>
        <v>06</v>
      </c>
      <c r="D441" t="str">
        <f t="shared" si="24"/>
        <v>JUNIO</v>
      </c>
      <c r="E441" s="14" t="s">
        <v>23</v>
      </c>
      <c r="F441" t="str">
        <f>_xlfn.XLOOKUP(E441,MAPEO!$B:$B,MAPEO!$C:$C,"",0)</f>
        <v>Personalizados</v>
      </c>
      <c r="G441" t="str">
        <f>_xlfn.XLOOKUP(E441,MAPEO!$B:$B,MAPEO!$D:$D,"",0)</f>
        <v>Marco</v>
      </c>
    </row>
    <row r="442" spans="1:7" ht="15.75" customHeight="1">
      <c r="A442" s="19">
        <f t="shared" si="26"/>
        <v>4</v>
      </c>
      <c r="B442" s="17">
        <v>45809</v>
      </c>
      <c r="C442" s="19" t="str">
        <f t="shared" si="23"/>
        <v>06</v>
      </c>
      <c r="D442" t="str">
        <f t="shared" si="24"/>
        <v>JUNIO</v>
      </c>
      <c r="E442" s="5" t="s">
        <v>24</v>
      </c>
      <c r="F442" t="str">
        <f>_xlfn.XLOOKUP(E442,MAPEO!$B:$B,MAPEO!$C:$C,"",0)</f>
        <v>Personalizados</v>
      </c>
      <c r="G442" t="str">
        <f>_xlfn.XLOOKUP(E442,MAPEO!$B:$B,MAPEO!$D:$D,"",0)</f>
        <v>Lean</v>
      </c>
    </row>
    <row r="443" spans="1:7" ht="15.75" customHeight="1">
      <c r="A443" s="19">
        <f t="shared" si="26"/>
        <v>4</v>
      </c>
      <c r="B443" s="17">
        <v>45809</v>
      </c>
      <c r="C443" s="19" t="str">
        <f t="shared" si="23"/>
        <v>06</v>
      </c>
      <c r="D443" t="str">
        <f t="shared" si="24"/>
        <v>JUNIO</v>
      </c>
      <c r="E443" s="12" t="s">
        <v>25</v>
      </c>
      <c r="F443" t="str">
        <f>_xlfn.XLOOKUP(E443,MAPEO!$B:$B,MAPEO!$C:$C,"",0)</f>
        <v>Nutricion</v>
      </c>
      <c r="G443" t="s">
        <v>56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6D8A-0D94-44B1-936C-4B6CCF8A169C}">
  <sheetPr>
    <tabColor theme="4" tint="0.79998168889431442"/>
  </sheetPr>
  <dimension ref="A1:AA122"/>
  <sheetViews>
    <sheetView zoomScale="85" zoomScaleNormal="85" workbookViewId="0">
      <selection activeCell="A26" sqref="A26:B34"/>
    </sheetView>
  </sheetViews>
  <sheetFormatPr baseColWidth="10" defaultRowHeight="12.75"/>
  <cols>
    <col min="1" max="1" width="33.140625" bestFit="1" customWidth="1"/>
    <col min="2" max="2" width="22.42578125" bestFit="1" customWidth="1"/>
    <col min="3" max="5" width="11.140625" bestFit="1" customWidth="1"/>
    <col min="6" max="6" width="13.140625" bestFit="1" customWidth="1"/>
    <col min="7" max="10" width="9.5703125" bestFit="1" customWidth="1"/>
    <col min="11" max="11" width="12.7109375" bestFit="1" customWidth="1"/>
    <col min="12" max="12" width="13.140625" bestFit="1" customWidth="1"/>
    <col min="13" max="15" width="8.5703125" bestFit="1" customWidth="1"/>
    <col min="16" max="16" width="11.7109375" bestFit="1" customWidth="1"/>
    <col min="17" max="20" width="8.42578125" bestFit="1" customWidth="1"/>
    <col min="21" max="21" width="11.5703125" bestFit="1" customWidth="1"/>
    <col min="22" max="25" width="8.5703125" bestFit="1" customWidth="1"/>
    <col min="26" max="26" width="11.7109375" bestFit="1" customWidth="1"/>
    <col min="27" max="27" width="13.140625" bestFit="1" customWidth="1"/>
  </cols>
  <sheetData>
    <row r="1" spans="1:2">
      <c r="A1" s="34" t="s">
        <v>60</v>
      </c>
      <c r="B1" s="35"/>
    </row>
    <row r="2" spans="1:2">
      <c r="A2" s="29" t="s">
        <v>55</v>
      </c>
      <c r="B2" t="s">
        <v>59</v>
      </c>
    </row>
    <row r="3" spans="1:2">
      <c r="A3" t="s">
        <v>16</v>
      </c>
      <c r="B3">
        <v>72</v>
      </c>
    </row>
    <row r="4" spans="1:2">
      <c r="A4" t="s">
        <v>41</v>
      </c>
      <c r="B4">
        <v>520</v>
      </c>
    </row>
    <row r="5" spans="1:2">
      <c r="A5" t="s">
        <v>40</v>
      </c>
      <c r="B5">
        <v>1058</v>
      </c>
    </row>
    <row r="6" spans="1:2">
      <c r="A6" t="s">
        <v>19</v>
      </c>
      <c r="B6">
        <v>33</v>
      </c>
    </row>
    <row r="7" spans="1:2">
      <c r="A7" t="s">
        <v>21</v>
      </c>
      <c r="B7">
        <v>101</v>
      </c>
    </row>
    <row r="8" spans="1:2">
      <c r="A8" t="s">
        <v>20</v>
      </c>
      <c r="B8">
        <v>915</v>
      </c>
    </row>
    <row r="9" spans="1:2">
      <c r="A9" t="s">
        <v>29</v>
      </c>
      <c r="B9">
        <v>24</v>
      </c>
    </row>
    <row r="10" spans="1:2">
      <c r="A10" t="s">
        <v>11</v>
      </c>
      <c r="B10">
        <v>17</v>
      </c>
    </row>
    <row r="11" spans="1:2">
      <c r="A11" t="s">
        <v>13</v>
      </c>
      <c r="B11">
        <v>89</v>
      </c>
    </row>
    <row r="12" spans="1:2">
      <c r="A12" t="s">
        <v>10</v>
      </c>
      <c r="B12">
        <v>37</v>
      </c>
    </row>
    <row r="13" spans="1:2">
      <c r="A13" t="s">
        <v>30</v>
      </c>
      <c r="B13">
        <v>25</v>
      </c>
    </row>
    <row r="14" spans="1:2">
      <c r="A14" t="s">
        <v>18</v>
      </c>
      <c r="B14">
        <v>36</v>
      </c>
    </row>
    <row r="15" spans="1:2">
      <c r="A15" t="s">
        <v>25</v>
      </c>
    </row>
    <row r="16" spans="1:2">
      <c r="A16" t="s">
        <v>42</v>
      </c>
      <c r="B16">
        <v>206</v>
      </c>
    </row>
    <row r="17" spans="1:2">
      <c r="A17" t="s">
        <v>15</v>
      </c>
      <c r="B17">
        <v>216</v>
      </c>
    </row>
    <row r="18" spans="1:2">
      <c r="A18" t="s">
        <v>22</v>
      </c>
      <c r="B18">
        <v>7</v>
      </c>
    </row>
    <row r="19" spans="1:2">
      <c r="A19" t="s">
        <v>12</v>
      </c>
      <c r="B19">
        <v>54</v>
      </c>
    </row>
    <row r="20" spans="1:2">
      <c r="A20" t="s">
        <v>14</v>
      </c>
      <c r="B20">
        <v>32</v>
      </c>
    </row>
    <row r="21" spans="1:2">
      <c r="A21" t="s">
        <v>57</v>
      </c>
      <c r="B21">
        <v>3442</v>
      </c>
    </row>
    <row r="24" spans="1:2">
      <c r="A24" s="34" t="s">
        <v>61</v>
      </c>
      <c r="B24" s="35"/>
    </row>
    <row r="25" spans="1:2">
      <c r="A25" s="29" t="s">
        <v>45</v>
      </c>
      <c r="B25" t="s">
        <v>59</v>
      </c>
    </row>
    <row r="26" spans="1:2">
      <c r="A26" t="s">
        <v>48</v>
      </c>
      <c r="B26">
        <v>186</v>
      </c>
    </row>
    <row r="27" spans="1:2">
      <c r="A27" t="s">
        <v>46</v>
      </c>
      <c r="B27">
        <v>295</v>
      </c>
    </row>
    <row r="28" spans="1:2">
      <c r="A28" t="s">
        <v>49</v>
      </c>
      <c r="B28">
        <v>150</v>
      </c>
    </row>
    <row r="29" spans="1:2">
      <c r="A29" t="s">
        <v>53</v>
      </c>
      <c r="B29">
        <v>15</v>
      </c>
    </row>
    <row r="30" spans="1:2">
      <c r="A30" t="s">
        <v>52</v>
      </c>
      <c r="B30">
        <v>191</v>
      </c>
    </row>
    <row r="31" spans="1:2">
      <c r="A31" t="s">
        <v>54</v>
      </c>
      <c r="B31">
        <v>313</v>
      </c>
    </row>
    <row r="32" spans="1:2">
      <c r="A32" t="s">
        <v>47</v>
      </c>
      <c r="B32">
        <v>332</v>
      </c>
    </row>
    <row r="33" spans="1:2">
      <c r="A33" t="s">
        <v>50</v>
      </c>
      <c r="B33">
        <v>64</v>
      </c>
    </row>
    <row r="34" spans="1:2">
      <c r="A34" t="s">
        <v>51</v>
      </c>
      <c r="B34">
        <v>207</v>
      </c>
    </row>
    <row r="35" spans="1:2">
      <c r="A35" t="s">
        <v>57</v>
      </c>
      <c r="B35">
        <v>1753</v>
      </c>
    </row>
    <row r="39" spans="1:2">
      <c r="A39" s="36" t="s">
        <v>62</v>
      </c>
      <c r="B39" s="35"/>
    </row>
    <row r="40" spans="1:2">
      <c r="A40" s="29" t="s">
        <v>37</v>
      </c>
      <c r="B40" t="s">
        <v>59</v>
      </c>
    </row>
    <row r="41" spans="1:2">
      <c r="A41" t="s">
        <v>63</v>
      </c>
      <c r="B41">
        <v>713</v>
      </c>
    </row>
    <row r="42" spans="1:2">
      <c r="A42" t="s">
        <v>64</v>
      </c>
      <c r="B42">
        <v>1358</v>
      </c>
    </row>
    <row r="43" spans="1:2">
      <c r="A43" t="s">
        <v>65</v>
      </c>
      <c r="B43">
        <v>1073</v>
      </c>
    </row>
    <row r="44" spans="1:2">
      <c r="A44" t="s">
        <v>66</v>
      </c>
      <c r="B44">
        <v>298</v>
      </c>
    </row>
    <row r="45" spans="1:2">
      <c r="A45" t="s">
        <v>67</v>
      </c>
    </row>
    <row r="46" spans="1:2">
      <c r="A46" t="s">
        <v>57</v>
      </c>
      <c r="B46">
        <v>3442</v>
      </c>
    </row>
    <row r="49" spans="1:12">
      <c r="A49" s="34" t="s">
        <v>68</v>
      </c>
      <c r="B49" s="35"/>
      <c r="C49" s="35"/>
    </row>
    <row r="50" spans="1:12">
      <c r="A50" s="29" t="s">
        <v>58</v>
      </c>
      <c r="B50" s="29" t="s">
        <v>45</v>
      </c>
    </row>
    <row r="51" spans="1:12">
      <c r="A51" s="29" t="s">
        <v>55</v>
      </c>
      <c r="B51" t="s">
        <v>56</v>
      </c>
      <c r="C51" t="s">
        <v>48</v>
      </c>
      <c r="D51" t="s">
        <v>46</v>
      </c>
      <c r="E51" t="s">
        <v>49</v>
      </c>
      <c r="F51" t="s">
        <v>53</v>
      </c>
      <c r="G51" t="s">
        <v>52</v>
      </c>
      <c r="H51" t="s">
        <v>54</v>
      </c>
      <c r="I51" t="s">
        <v>47</v>
      </c>
      <c r="J51" t="s">
        <v>50</v>
      </c>
      <c r="K51" t="s">
        <v>51</v>
      </c>
      <c r="L51" t="s">
        <v>57</v>
      </c>
    </row>
    <row r="52" spans="1:12">
      <c r="A52" t="s">
        <v>16</v>
      </c>
      <c r="B52" s="30">
        <v>72</v>
      </c>
      <c r="C52" s="30"/>
      <c r="D52" s="30"/>
      <c r="E52" s="30"/>
      <c r="F52" s="30"/>
      <c r="G52" s="30"/>
      <c r="H52" s="30"/>
      <c r="I52" s="30"/>
      <c r="J52" s="30"/>
      <c r="K52" s="30"/>
      <c r="L52" s="30">
        <v>72</v>
      </c>
    </row>
    <row r="53" spans="1:12">
      <c r="A53" t="s">
        <v>41</v>
      </c>
      <c r="B53" s="30"/>
      <c r="C53" s="30"/>
      <c r="D53" s="30"/>
      <c r="E53" s="30"/>
      <c r="F53" s="30"/>
      <c r="G53" s="30"/>
      <c r="H53" s="30">
        <v>313</v>
      </c>
      <c r="I53" s="30"/>
      <c r="J53" s="30"/>
      <c r="K53" s="30">
        <v>207</v>
      </c>
      <c r="L53" s="30">
        <v>520</v>
      </c>
    </row>
    <row r="54" spans="1:12">
      <c r="A54" t="s">
        <v>40</v>
      </c>
      <c r="B54" s="30">
        <v>31</v>
      </c>
      <c r="C54" s="30">
        <v>186</v>
      </c>
      <c r="D54" s="30">
        <v>295</v>
      </c>
      <c r="E54" s="30">
        <v>150</v>
      </c>
      <c r="F54" s="30"/>
      <c r="G54" s="30"/>
      <c r="H54" s="30"/>
      <c r="I54" s="30">
        <v>332</v>
      </c>
      <c r="J54" s="30">
        <v>64</v>
      </c>
      <c r="K54" s="30"/>
      <c r="L54" s="30">
        <v>1058</v>
      </c>
    </row>
    <row r="55" spans="1:12">
      <c r="A55" t="s">
        <v>19</v>
      </c>
      <c r="B55" s="30">
        <v>33</v>
      </c>
      <c r="C55" s="30"/>
      <c r="D55" s="30"/>
      <c r="E55" s="30"/>
      <c r="F55" s="30"/>
      <c r="G55" s="30"/>
      <c r="H55" s="30"/>
      <c r="I55" s="30"/>
      <c r="J55" s="30"/>
      <c r="K55" s="30"/>
      <c r="L55" s="30">
        <v>33</v>
      </c>
    </row>
    <row r="56" spans="1:12">
      <c r="A56" t="s">
        <v>21</v>
      </c>
      <c r="B56" s="30">
        <v>101</v>
      </c>
      <c r="C56" s="30"/>
      <c r="D56" s="30"/>
      <c r="E56" s="30"/>
      <c r="F56" s="30"/>
      <c r="G56" s="30"/>
      <c r="H56" s="30"/>
      <c r="I56" s="30"/>
      <c r="J56" s="30"/>
      <c r="K56" s="30"/>
      <c r="L56" s="30">
        <v>101</v>
      </c>
    </row>
    <row r="57" spans="1:12">
      <c r="A57" t="s">
        <v>20</v>
      </c>
      <c r="B57" s="30">
        <v>915</v>
      </c>
      <c r="C57" s="30"/>
      <c r="D57" s="30"/>
      <c r="E57" s="30"/>
      <c r="F57" s="30"/>
      <c r="G57" s="30"/>
      <c r="H57" s="30"/>
      <c r="I57" s="30"/>
      <c r="J57" s="30"/>
      <c r="K57" s="30"/>
      <c r="L57" s="30">
        <v>915</v>
      </c>
    </row>
    <row r="58" spans="1:12">
      <c r="A58" t="s">
        <v>29</v>
      </c>
      <c r="B58" s="30">
        <v>24</v>
      </c>
      <c r="C58" s="30"/>
      <c r="D58" s="30"/>
      <c r="E58" s="30"/>
      <c r="F58" s="30"/>
      <c r="G58" s="30"/>
      <c r="H58" s="30"/>
      <c r="I58" s="30"/>
      <c r="J58" s="30"/>
      <c r="K58" s="30"/>
      <c r="L58" s="30">
        <v>24</v>
      </c>
    </row>
    <row r="59" spans="1:12">
      <c r="A59" t="s">
        <v>11</v>
      </c>
      <c r="B59" s="30">
        <v>17</v>
      </c>
      <c r="C59" s="30"/>
      <c r="D59" s="30"/>
      <c r="E59" s="30"/>
      <c r="F59" s="30"/>
      <c r="G59" s="30"/>
      <c r="H59" s="30"/>
      <c r="I59" s="30"/>
      <c r="J59" s="30"/>
      <c r="K59" s="30"/>
      <c r="L59" s="30">
        <v>17</v>
      </c>
    </row>
    <row r="60" spans="1:12">
      <c r="A60" t="s">
        <v>13</v>
      </c>
      <c r="B60" s="30">
        <v>89</v>
      </c>
      <c r="C60" s="30"/>
      <c r="D60" s="30"/>
      <c r="E60" s="30"/>
      <c r="F60" s="30"/>
      <c r="G60" s="30"/>
      <c r="H60" s="30"/>
      <c r="I60" s="30"/>
      <c r="J60" s="30"/>
      <c r="K60" s="30"/>
      <c r="L60" s="30">
        <v>89</v>
      </c>
    </row>
    <row r="61" spans="1:12">
      <c r="A61" t="s">
        <v>10</v>
      </c>
      <c r="B61" s="30">
        <v>37</v>
      </c>
      <c r="C61" s="30"/>
      <c r="D61" s="30"/>
      <c r="E61" s="30"/>
      <c r="F61" s="30"/>
      <c r="G61" s="30"/>
      <c r="H61" s="30"/>
      <c r="I61" s="30"/>
      <c r="J61" s="30"/>
      <c r="K61" s="30"/>
      <c r="L61" s="30">
        <v>37</v>
      </c>
    </row>
    <row r="62" spans="1:12">
      <c r="A62" t="s">
        <v>30</v>
      </c>
      <c r="B62" s="30">
        <v>25</v>
      </c>
      <c r="C62" s="30"/>
      <c r="D62" s="30"/>
      <c r="E62" s="30"/>
      <c r="F62" s="30"/>
      <c r="G62" s="30"/>
      <c r="H62" s="30"/>
      <c r="I62" s="30"/>
      <c r="J62" s="30"/>
      <c r="K62" s="30"/>
      <c r="L62" s="30">
        <v>25</v>
      </c>
    </row>
    <row r="63" spans="1:12">
      <c r="A63" t="s">
        <v>18</v>
      </c>
      <c r="B63" s="30">
        <v>36</v>
      </c>
      <c r="C63" s="30"/>
      <c r="D63" s="30"/>
      <c r="E63" s="30"/>
      <c r="F63" s="30"/>
      <c r="G63" s="30"/>
      <c r="H63" s="30"/>
      <c r="I63" s="30"/>
      <c r="J63" s="30"/>
      <c r="K63" s="30"/>
      <c r="L63" s="30">
        <v>36</v>
      </c>
    </row>
    <row r="64" spans="1:12">
      <c r="A64" t="s">
        <v>25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>
      <c r="A65" t="s">
        <v>42</v>
      </c>
      <c r="B65" s="30"/>
      <c r="C65" s="30"/>
      <c r="D65" s="30"/>
      <c r="E65" s="30"/>
      <c r="F65" s="30">
        <v>15</v>
      </c>
      <c r="G65" s="30">
        <v>191</v>
      </c>
      <c r="H65" s="30"/>
      <c r="I65" s="30"/>
      <c r="J65" s="30"/>
      <c r="K65" s="30"/>
      <c r="L65" s="30">
        <v>206</v>
      </c>
    </row>
    <row r="66" spans="1:12">
      <c r="A66" t="s">
        <v>15</v>
      </c>
      <c r="B66" s="30">
        <v>216</v>
      </c>
      <c r="C66" s="30"/>
      <c r="D66" s="30"/>
      <c r="E66" s="30"/>
      <c r="F66" s="30"/>
      <c r="G66" s="30"/>
      <c r="H66" s="30"/>
      <c r="I66" s="30"/>
      <c r="J66" s="30"/>
      <c r="K66" s="30"/>
      <c r="L66" s="30">
        <v>216</v>
      </c>
    </row>
    <row r="67" spans="1:12">
      <c r="A67" t="s">
        <v>22</v>
      </c>
      <c r="B67" s="30">
        <v>7</v>
      </c>
      <c r="C67" s="30"/>
      <c r="D67" s="30"/>
      <c r="E67" s="30"/>
      <c r="F67" s="30"/>
      <c r="G67" s="30"/>
      <c r="H67" s="30"/>
      <c r="I67" s="30"/>
      <c r="J67" s="30"/>
      <c r="K67" s="30"/>
      <c r="L67" s="30">
        <v>7</v>
      </c>
    </row>
    <row r="68" spans="1:12">
      <c r="A68" t="s">
        <v>12</v>
      </c>
      <c r="B68" s="30">
        <v>54</v>
      </c>
      <c r="C68" s="30"/>
      <c r="D68" s="30"/>
      <c r="E68" s="30"/>
      <c r="F68" s="30"/>
      <c r="G68" s="30"/>
      <c r="H68" s="30"/>
      <c r="I68" s="30"/>
      <c r="J68" s="30"/>
      <c r="K68" s="30"/>
      <c r="L68" s="30">
        <v>54</v>
      </c>
    </row>
    <row r="69" spans="1:12">
      <c r="A69" t="s">
        <v>14</v>
      </c>
      <c r="B69" s="30">
        <v>32</v>
      </c>
      <c r="C69" s="30"/>
      <c r="D69" s="30"/>
      <c r="E69" s="30"/>
      <c r="F69" s="30"/>
      <c r="G69" s="30"/>
      <c r="H69" s="30"/>
      <c r="I69" s="30"/>
      <c r="J69" s="30"/>
      <c r="K69" s="30"/>
      <c r="L69" s="30">
        <v>32</v>
      </c>
    </row>
    <row r="70" spans="1:12">
      <c r="A70" t="s">
        <v>57</v>
      </c>
      <c r="B70">
        <v>1689</v>
      </c>
      <c r="C70">
        <v>186</v>
      </c>
      <c r="D70">
        <v>295</v>
      </c>
      <c r="E70">
        <v>150</v>
      </c>
      <c r="F70">
        <v>15</v>
      </c>
      <c r="G70">
        <v>191</v>
      </c>
      <c r="H70">
        <v>313</v>
      </c>
      <c r="I70">
        <v>332</v>
      </c>
      <c r="J70">
        <v>64</v>
      </c>
      <c r="K70">
        <v>207</v>
      </c>
      <c r="L70">
        <v>3442</v>
      </c>
    </row>
    <row r="73" spans="1:12">
      <c r="A73" s="34" t="s">
        <v>74</v>
      </c>
      <c r="B73" s="35"/>
      <c r="C73" s="35"/>
    </row>
    <row r="74" spans="1:12">
      <c r="A74" s="29" t="s">
        <v>58</v>
      </c>
      <c r="B74" s="29" t="s">
        <v>34</v>
      </c>
    </row>
    <row r="75" spans="1:12">
      <c r="A75" s="29" t="s">
        <v>37</v>
      </c>
      <c r="B75">
        <v>1</v>
      </c>
      <c r="C75">
        <v>2</v>
      </c>
      <c r="D75">
        <v>3</v>
      </c>
      <c r="E75">
        <v>4</v>
      </c>
      <c r="F75" t="s">
        <v>57</v>
      </c>
    </row>
    <row r="76" spans="1:12">
      <c r="A76" t="s">
        <v>63</v>
      </c>
      <c r="D76">
        <v>345</v>
      </c>
      <c r="E76">
        <v>368</v>
      </c>
      <c r="F76">
        <v>713</v>
      </c>
    </row>
    <row r="77" spans="1:12" ht="14.25">
      <c r="A77" t="s">
        <v>64</v>
      </c>
      <c r="B77">
        <v>141</v>
      </c>
      <c r="C77" s="31">
        <v>410</v>
      </c>
      <c r="D77" s="31">
        <v>424</v>
      </c>
      <c r="E77" s="31">
        <v>383</v>
      </c>
      <c r="F77" s="31">
        <v>1358</v>
      </c>
    </row>
    <row r="78" spans="1:12" ht="14.25">
      <c r="A78" t="s">
        <v>65</v>
      </c>
      <c r="B78" s="31">
        <v>346</v>
      </c>
      <c r="D78">
        <v>366</v>
      </c>
      <c r="E78">
        <v>361</v>
      </c>
      <c r="F78">
        <v>1073</v>
      </c>
    </row>
    <row r="79" spans="1:12">
      <c r="A79" t="s">
        <v>66</v>
      </c>
      <c r="B79">
        <v>298</v>
      </c>
      <c r="F79">
        <v>298</v>
      </c>
    </row>
    <row r="80" spans="1:12">
      <c r="A80" t="s">
        <v>57</v>
      </c>
      <c r="B80">
        <v>785</v>
      </c>
      <c r="C80">
        <v>410</v>
      </c>
      <c r="D80">
        <v>1135</v>
      </c>
      <c r="E80">
        <v>1112</v>
      </c>
      <c r="F80">
        <v>3442</v>
      </c>
    </row>
    <row r="84" spans="1:27">
      <c r="A84" s="34" t="s">
        <v>75</v>
      </c>
      <c r="B84" s="35"/>
      <c r="C84" s="35"/>
    </row>
    <row r="85" spans="1:27">
      <c r="A85" s="29" t="s">
        <v>58</v>
      </c>
      <c r="B85" s="29" t="s">
        <v>37</v>
      </c>
      <c r="C85" s="29" t="s">
        <v>34</v>
      </c>
    </row>
    <row r="86" spans="1:27">
      <c r="B86" t="s">
        <v>63</v>
      </c>
      <c r="C86" t="s">
        <v>63</v>
      </c>
      <c r="D86" t="s">
        <v>63</v>
      </c>
      <c r="E86" t="s">
        <v>63</v>
      </c>
      <c r="F86" t="s">
        <v>69</v>
      </c>
      <c r="G86" t="s">
        <v>64</v>
      </c>
      <c r="H86" t="s">
        <v>64</v>
      </c>
      <c r="I86" t="s">
        <v>64</v>
      </c>
      <c r="J86" t="s">
        <v>64</v>
      </c>
      <c r="K86" t="s">
        <v>70</v>
      </c>
      <c r="L86" t="s">
        <v>65</v>
      </c>
      <c r="M86" t="s">
        <v>65</v>
      </c>
      <c r="N86" t="s">
        <v>65</v>
      </c>
      <c r="O86" t="s">
        <v>65</v>
      </c>
      <c r="P86" t="s">
        <v>71</v>
      </c>
      <c r="Q86" t="s">
        <v>66</v>
      </c>
      <c r="R86" t="s">
        <v>66</v>
      </c>
      <c r="S86" t="s">
        <v>66</v>
      </c>
      <c r="T86" t="s">
        <v>66</v>
      </c>
      <c r="U86" t="s">
        <v>72</v>
      </c>
      <c r="V86" t="s">
        <v>67</v>
      </c>
      <c r="W86" t="s">
        <v>67</v>
      </c>
      <c r="X86" t="s">
        <v>67</v>
      </c>
      <c r="Y86" t="s">
        <v>67</v>
      </c>
      <c r="Z86" t="s">
        <v>73</v>
      </c>
      <c r="AA86" t="s">
        <v>57</v>
      </c>
    </row>
    <row r="87" spans="1:27">
      <c r="A87" s="29" t="s">
        <v>55</v>
      </c>
      <c r="B87">
        <v>1</v>
      </c>
      <c r="C87">
        <v>2</v>
      </c>
      <c r="D87">
        <v>3</v>
      </c>
      <c r="E87">
        <v>4</v>
      </c>
      <c r="G87">
        <v>1</v>
      </c>
      <c r="H87">
        <v>2</v>
      </c>
      <c r="I87">
        <v>3</v>
      </c>
      <c r="J87">
        <v>4</v>
      </c>
      <c r="L87">
        <v>1</v>
      </c>
      <c r="M87">
        <v>2</v>
      </c>
      <c r="N87">
        <v>3</v>
      </c>
      <c r="O87">
        <v>4</v>
      </c>
      <c r="Q87">
        <v>1</v>
      </c>
      <c r="R87">
        <v>2</v>
      </c>
      <c r="S87">
        <v>3</v>
      </c>
      <c r="T87">
        <v>4</v>
      </c>
      <c r="V87">
        <v>1</v>
      </c>
      <c r="W87">
        <v>2</v>
      </c>
      <c r="X87">
        <v>3</v>
      </c>
      <c r="Y87">
        <v>4</v>
      </c>
    </row>
    <row r="88" spans="1:27">
      <c r="A88" t="s">
        <v>16</v>
      </c>
      <c r="D88">
        <v>6</v>
      </c>
      <c r="E88">
        <v>7</v>
      </c>
      <c r="F88">
        <v>13</v>
      </c>
      <c r="G88">
        <v>3</v>
      </c>
      <c r="H88">
        <v>10</v>
      </c>
      <c r="I88">
        <v>10</v>
      </c>
      <c r="J88">
        <v>10</v>
      </c>
      <c r="K88">
        <v>33</v>
      </c>
      <c r="L88">
        <v>5</v>
      </c>
      <c r="N88">
        <v>7</v>
      </c>
      <c r="O88">
        <v>8</v>
      </c>
      <c r="P88">
        <v>20</v>
      </c>
      <c r="Q88">
        <v>6</v>
      </c>
      <c r="U88">
        <v>6</v>
      </c>
      <c r="AA88">
        <v>72</v>
      </c>
    </row>
    <row r="89" spans="1:27" ht="14.25">
      <c r="A89" s="32" t="s">
        <v>41</v>
      </c>
      <c r="D89">
        <v>41</v>
      </c>
      <c r="E89">
        <v>49</v>
      </c>
      <c r="F89">
        <v>90</v>
      </c>
      <c r="G89">
        <v>19</v>
      </c>
      <c r="H89">
        <v>61</v>
      </c>
      <c r="I89">
        <v>72</v>
      </c>
      <c r="J89">
        <v>60</v>
      </c>
      <c r="K89">
        <v>212</v>
      </c>
      <c r="L89">
        <v>60</v>
      </c>
      <c r="N89">
        <v>53</v>
      </c>
      <c r="O89">
        <v>56</v>
      </c>
      <c r="P89">
        <v>169</v>
      </c>
      <c r="Q89">
        <v>49</v>
      </c>
      <c r="U89">
        <v>49</v>
      </c>
      <c r="AA89">
        <v>520</v>
      </c>
    </row>
    <row r="90" spans="1:27" ht="14.25">
      <c r="A90" s="31" t="s">
        <v>40</v>
      </c>
      <c r="D90">
        <v>98</v>
      </c>
      <c r="E90">
        <v>104</v>
      </c>
      <c r="F90">
        <v>202</v>
      </c>
      <c r="G90">
        <v>55</v>
      </c>
      <c r="H90">
        <v>125</v>
      </c>
      <c r="I90">
        <v>122</v>
      </c>
      <c r="J90">
        <v>107</v>
      </c>
      <c r="K90">
        <v>409</v>
      </c>
      <c r="L90">
        <v>94</v>
      </c>
      <c r="N90">
        <v>122</v>
      </c>
      <c r="O90">
        <v>122</v>
      </c>
      <c r="P90">
        <v>338</v>
      </c>
      <c r="Q90">
        <v>109</v>
      </c>
      <c r="U90">
        <v>109</v>
      </c>
      <c r="AA90">
        <v>1058</v>
      </c>
    </row>
    <row r="91" spans="1:27">
      <c r="A91" t="s">
        <v>19</v>
      </c>
      <c r="D91">
        <v>2</v>
      </c>
      <c r="E91">
        <v>3</v>
      </c>
      <c r="F91">
        <v>5</v>
      </c>
      <c r="G91">
        <v>3</v>
      </c>
      <c r="H91">
        <v>4</v>
      </c>
      <c r="I91">
        <v>4</v>
      </c>
      <c r="J91">
        <v>4</v>
      </c>
      <c r="K91">
        <v>15</v>
      </c>
      <c r="L91">
        <v>4</v>
      </c>
      <c r="N91">
        <v>5</v>
      </c>
      <c r="O91">
        <v>2</v>
      </c>
      <c r="P91">
        <v>11</v>
      </c>
      <c r="Q91">
        <v>2</v>
      </c>
      <c r="U91">
        <v>2</v>
      </c>
      <c r="AA91">
        <v>33</v>
      </c>
    </row>
    <row r="92" spans="1:27">
      <c r="A92" t="s">
        <v>21</v>
      </c>
      <c r="D92">
        <v>1</v>
      </c>
      <c r="E92">
        <v>2</v>
      </c>
      <c r="F92">
        <v>3</v>
      </c>
      <c r="G92">
        <v>3</v>
      </c>
      <c r="H92">
        <v>12</v>
      </c>
      <c r="I92">
        <v>14</v>
      </c>
      <c r="J92">
        <v>12</v>
      </c>
      <c r="K92">
        <v>41</v>
      </c>
      <c r="L92">
        <v>13</v>
      </c>
      <c r="N92">
        <v>12</v>
      </c>
      <c r="O92">
        <v>14</v>
      </c>
      <c r="P92">
        <v>39</v>
      </c>
      <c r="Q92">
        <v>18</v>
      </c>
      <c r="U92">
        <v>18</v>
      </c>
      <c r="AA92">
        <v>101</v>
      </c>
    </row>
    <row r="93" spans="1:27" ht="14.25">
      <c r="A93" s="31" t="s">
        <v>20</v>
      </c>
      <c r="D93">
        <v>111</v>
      </c>
      <c r="E93">
        <v>111</v>
      </c>
      <c r="F93">
        <v>222</v>
      </c>
      <c r="G93">
        <v>23</v>
      </c>
      <c r="H93">
        <v>120</v>
      </c>
      <c r="I93">
        <v>116</v>
      </c>
      <c r="J93">
        <v>103</v>
      </c>
      <c r="K93">
        <v>362</v>
      </c>
      <c r="L93">
        <v>91</v>
      </c>
      <c r="N93">
        <v>85</v>
      </c>
      <c r="O93">
        <v>81</v>
      </c>
      <c r="P93">
        <v>257</v>
      </c>
      <c r="Q93">
        <v>74</v>
      </c>
      <c r="U93">
        <v>74</v>
      </c>
      <c r="AA93">
        <v>915</v>
      </c>
    </row>
    <row r="94" spans="1:27">
      <c r="A94" t="s">
        <v>29</v>
      </c>
      <c r="I94">
        <v>6</v>
      </c>
      <c r="K94">
        <v>6</v>
      </c>
      <c r="L94">
        <v>7</v>
      </c>
      <c r="N94">
        <v>5</v>
      </c>
      <c r="O94">
        <v>6</v>
      </c>
      <c r="P94">
        <v>18</v>
      </c>
      <c r="AA94">
        <v>24</v>
      </c>
    </row>
    <row r="95" spans="1:27">
      <c r="A95" t="s">
        <v>11</v>
      </c>
      <c r="D95">
        <v>1</v>
      </c>
      <c r="E95">
        <v>3</v>
      </c>
      <c r="F95">
        <v>4</v>
      </c>
      <c r="G95">
        <v>0</v>
      </c>
      <c r="H95">
        <v>2</v>
      </c>
      <c r="I95">
        <v>1</v>
      </c>
      <c r="J95">
        <v>3</v>
      </c>
      <c r="K95">
        <v>6</v>
      </c>
      <c r="L95">
        <v>1</v>
      </c>
      <c r="N95">
        <v>2</v>
      </c>
      <c r="O95">
        <v>2</v>
      </c>
      <c r="P95">
        <v>5</v>
      </c>
      <c r="Q95">
        <v>2</v>
      </c>
      <c r="U95">
        <v>2</v>
      </c>
      <c r="AA95">
        <v>17</v>
      </c>
    </row>
    <row r="96" spans="1:27">
      <c r="A96" t="s">
        <v>13</v>
      </c>
      <c r="D96">
        <v>10</v>
      </c>
      <c r="E96">
        <v>11</v>
      </c>
      <c r="F96">
        <v>21</v>
      </c>
      <c r="G96">
        <v>3</v>
      </c>
      <c r="H96">
        <v>9</v>
      </c>
      <c r="I96">
        <v>9</v>
      </c>
      <c r="J96">
        <v>12</v>
      </c>
      <c r="K96">
        <v>33</v>
      </c>
      <c r="L96">
        <v>8</v>
      </c>
      <c r="N96">
        <v>10</v>
      </c>
      <c r="O96">
        <v>10</v>
      </c>
      <c r="P96">
        <v>28</v>
      </c>
      <c r="Q96">
        <v>7</v>
      </c>
      <c r="U96">
        <v>7</v>
      </c>
      <c r="AA96">
        <v>89</v>
      </c>
    </row>
    <row r="97" spans="1:27">
      <c r="A97" t="s">
        <v>10</v>
      </c>
      <c r="G97">
        <v>2</v>
      </c>
      <c r="J97">
        <v>6</v>
      </c>
      <c r="K97">
        <v>8</v>
      </c>
      <c r="L97">
        <v>9</v>
      </c>
      <c r="N97">
        <v>7</v>
      </c>
      <c r="O97">
        <v>6</v>
      </c>
      <c r="P97">
        <v>22</v>
      </c>
      <c r="Q97">
        <v>7</v>
      </c>
      <c r="U97">
        <v>7</v>
      </c>
      <c r="AA97">
        <v>37</v>
      </c>
    </row>
    <row r="98" spans="1:27">
      <c r="A98" t="s">
        <v>30</v>
      </c>
      <c r="D98">
        <v>5</v>
      </c>
      <c r="E98">
        <v>4</v>
      </c>
      <c r="F98">
        <v>9</v>
      </c>
      <c r="H98">
        <v>8</v>
      </c>
      <c r="I98">
        <v>8</v>
      </c>
      <c r="K98">
        <v>16</v>
      </c>
      <c r="AA98">
        <v>25</v>
      </c>
    </row>
    <row r="99" spans="1:27">
      <c r="A99" t="s">
        <v>18</v>
      </c>
      <c r="D99">
        <v>3</v>
      </c>
      <c r="E99">
        <v>3</v>
      </c>
      <c r="F99">
        <v>6</v>
      </c>
      <c r="G99">
        <v>1</v>
      </c>
      <c r="H99">
        <v>2</v>
      </c>
      <c r="I99">
        <v>6</v>
      </c>
      <c r="J99">
        <v>6</v>
      </c>
      <c r="K99">
        <v>15</v>
      </c>
      <c r="L99">
        <v>6</v>
      </c>
      <c r="N99">
        <v>3</v>
      </c>
      <c r="O99">
        <v>2</v>
      </c>
      <c r="P99">
        <v>11</v>
      </c>
      <c r="Q99">
        <v>4</v>
      </c>
      <c r="U99">
        <v>4</v>
      </c>
      <c r="AA99">
        <v>36</v>
      </c>
    </row>
    <row r="100" spans="1:27">
      <c r="A100" t="s">
        <v>25</v>
      </c>
    </row>
    <row r="101" spans="1:27" ht="14.25">
      <c r="A101" s="32" t="s">
        <v>42</v>
      </c>
      <c r="D101">
        <v>35</v>
      </c>
      <c r="E101">
        <v>38</v>
      </c>
      <c r="F101">
        <v>73</v>
      </c>
      <c r="G101">
        <v>11</v>
      </c>
      <c r="H101">
        <v>21</v>
      </c>
      <c r="I101">
        <v>24</v>
      </c>
      <c r="J101">
        <v>22</v>
      </c>
      <c r="K101">
        <v>78</v>
      </c>
      <c r="L101">
        <v>20</v>
      </c>
      <c r="N101">
        <v>20</v>
      </c>
      <c r="O101">
        <v>15</v>
      </c>
      <c r="P101">
        <v>55</v>
      </c>
      <c r="AA101">
        <v>206</v>
      </c>
    </row>
    <row r="102" spans="1:27">
      <c r="A102" t="s">
        <v>15</v>
      </c>
      <c r="D102">
        <v>22</v>
      </c>
      <c r="E102">
        <v>21</v>
      </c>
      <c r="F102">
        <v>43</v>
      </c>
      <c r="G102">
        <v>13</v>
      </c>
      <c r="H102">
        <v>29</v>
      </c>
      <c r="I102">
        <v>24</v>
      </c>
      <c r="J102">
        <v>27</v>
      </c>
      <c r="K102">
        <v>93</v>
      </c>
      <c r="L102">
        <v>18</v>
      </c>
      <c r="N102">
        <v>23</v>
      </c>
      <c r="O102">
        <v>24</v>
      </c>
      <c r="P102">
        <v>65</v>
      </c>
      <c r="Q102">
        <v>15</v>
      </c>
      <c r="U102">
        <v>15</v>
      </c>
      <c r="AA102">
        <v>216</v>
      </c>
    </row>
    <row r="103" spans="1:27">
      <c r="A103" t="s">
        <v>22</v>
      </c>
      <c r="D103">
        <v>2</v>
      </c>
      <c r="E103">
        <v>3</v>
      </c>
      <c r="F103">
        <v>5</v>
      </c>
      <c r="G103">
        <v>2</v>
      </c>
      <c r="K103">
        <v>2</v>
      </c>
      <c r="AA103">
        <v>7</v>
      </c>
    </row>
    <row r="104" spans="1:27">
      <c r="A104" t="s">
        <v>12</v>
      </c>
      <c r="D104">
        <v>5</v>
      </c>
      <c r="E104">
        <v>5</v>
      </c>
      <c r="F104">
        <v>10</v>
      </c>
      <c r="G104">
        <v>3</v>
      </c>
      <c r="H104">
        <v>4</v>
      </c>
      <c r="I104">
        <v>4</v>
      </c>
      <c r="J104">
        <v>8</v>
      </c>
      <c r="K104">
        <v>19</v>
      </c>
      <c r="L104">
        <v>6</v>
      </c>
      <c r="N104">
        <v>8</v>
      </c>
      <c r="O104">
        <v>8</v>
      </c>
      <c r="P104">
        <v>22</v>
      </c>
      <c r="Q104">
        <v>3</v>
      </c>
      <c r="U104">
        <v>3</v>
      </c>
      <c r="AA104">
        <v>54</v>
      </c>
    </row>
    <row r="105" spans="1:27">
      <c r="A105" t="s">
        <v>14</v>
      </c>
      <c r="D105">
        <v>3</v>
      </c>
      <c r="E105">
        <v>4</v>
      </c>
      <c r="F105">
        <v>7</v>
      </c>
      <c r="G105">
        <v>0</v>
      </c>
      <c r="H105">
        <v>3</v>
      </c>
      <c r="I105">
        <v>4</v>
      </c>
      <c r="J105">
        <v>3</v>
      </c>
      <c r="K105">
        <v>10</v>
      </c>
      <c r="L105">
        <v>4</v>
      </c>
      <c r="N105">
        <v>4</v>
      </c>
      <c r="O105">
        <v>5</v>
      </c>
      <c r="P105">
        <v>13</v>
      </c>
      <c r="Q105">
        <v>2</v>
      </c>
      <c r="U105">
        <v>2</v>
      </c>
      <c r="AA105">
        <v>32</v>
      </c>
    </row>
    <row r="106" spans="1:27">
      <c r="A106" t="s">
        <v>57</v>
      </c>
      <c r="D106">
        <v>345</v>
      </c>
      <c r="E106">
        <v>368</v>
      </c>
      <c r="F106">
        <v>713</v>
      </c>
      <c r="G106">
        <v>141</v>
      </c>
      <c r="H106">
        <v>410</v>
      </c>
      <c r="I106">
        <v>424</v>
      </c>
      <c r="J106">
        <v>383</v>
      </c>
      <c r="K106">
        <v>1358</v>
      </c>
      <c r="L106">
        <v>346</v>
      </c>
      <c r="N106">
        <v>366</v>
      </c>
      <c r="O106">
        <v>361</v>
      </c>
      <c r="P106">
        <v>1073</v>
      </c>
      <c r="Q106">
        <v>298</v>
      </c>
      <c r="U106">
        <v>298</v>
      </c>
      <c r="AA106">
        <v>3442</v>
      </c>
    </row>
    <row r="109" spans="1:27">
      <c r="A109" s="34" t="s">
        <v>74</v>
      </c>
      <c r="B109" s="35"/>
      <c r="C109" s="35"/>
    </row>
    <row r="110" spans="1:27">
      <c r="A110" s="29" t="s">
        <v>58</v>
      </c>
      <c r="B110" s="29" t="s">
        <v>37</v>
      </c>
      <c r="C110" s="29" t="s">
        <v>34</v>
      </c>
    </row>
    <row r="111" spans="1:27">
      <c r="B111" t="s">
        <v>63</v>
      </c>
      <c r="C111" t="s">
        <v>63</v>
      </c>
      <c r="D111" t="s">
        <v>63</v>
      </c>
      <c r="E111" t="s">
        <v>63</v>
      </c>
      <c r="F111" t="s">
        <v>64</v>
      </c>
      <c r="G111" t="s">
        <v>64</v>
      </c>
      <c r="H111" t="s">
        <v>64</v>
      </c>
      <c r="I111" t="s">
        <v>64</v>
      </c>
      <c r="J111" t="s">
        <v>65</v>
      </c>
      <c r="K111" t="s">
        <v>65</v>
      </c>
      <c r="L111" t="s">
        <v>65</v>
      </c>
      <c r="M111" t="s">
        <v>65</v>
      </c>
      <c r="N111" t="s">
        <v>66</v>
      </c>
      <c r="O111" t="s">
        <v>66</v>
      </c>
      <c r="P111" t="s">
        <v>66</v>
      </c>
      <c r="Q111" t="s">
        <v>66</v>
      </c>
      <c r="R111" t="s">
        <v>67</v>
      </c>
      <c r="S111" t="s">
        <v>67</v>
      </c>
      <c r="T111" t="s">
        <v>67</v>
      </c>
      <c r="U111" t="s">
        <v>67</v>
      </c>
      <c r="V111" t="s">
        <v>57</v>
      </c>
    </row>
    <row r="112" spans="1:27">
      <c r="A112" s="29" t="s">
        <v>45</v>
      </c>
      <c r="B112">
        <v>1</v>
      </c>
      <c r="C112">
        <v>2</v>
      </c>
      <c r="D112">
        <v>3</v>
      </c>
      <c r="E112">
        <v>4</v>
      </c>
      <c r="F112">
        <v>1</v>
      </c>
      <c r="G112">
        <v>2</v>
      </c>
      <c r="H112">
        <v>3</v>
      </c>
      <c r="I112">
        <v>4</v>
      </c>
      <c r="J112">
        <v>1</v>
      </c>
      <c r="K112">
        <v>2</v>
      </c>
      <c r="L112">
        <v>3</v>
      </c>
      <c r="M112">
        <v>4</v>
      </c>
      <c r="N112">
        <v>1</v>
      </c>
      <c r="O112">
        <v>2</v>
      </c>
      <c r="P112">
        <v>3</v>
      </c>
      <c r="Q112">
        <v>4</v>
      </c>
      <c r="R112">
        <v>1</v>
      </c>
      <c r="S112">
        <v>2</v>
      </c>
      <c r="T112">
        <v>3</v>
      </c>
      <c r="U112">
        <v>4</v>
      </c>
    </row>
    <row r="113" spans="1:22">
      <c r="A113" t="s">
        <v>48</v>
      </c>
      <c r="D113">
        <v>20</v>
      </c>
      <c r="E113">
        <v>19</v>
      </c>
      <c r="F113">
        <v>17</v>
      </c>
      <c r="G113">
        <v>22</v>
      </c>
      <c r="H113">
        <v>19</v>
      </c>
      <c r="I113">
        <v>11</v>
      </c>
      <c r="J113">
        <v>14</v>
      </c>
      <c r="L113">
        <v>22</v>
      </c>
      <c r="M113">
        <v>22</v>
      </c>
      <c r="N113">
        <v>20</v>
      </c>
      <c r="V113">
        <v>186</v>
      </c>
    </row>
    <row r="114" spans="1:22">
      <c r="A114" t="s">
        <v>46</v>
      </c>
      <c r="D114">
        <v>26</v>
      </c>
      <c r="E114">
        <v>28</v>
      </c>
      <c r="F114">
        <v>13</v>
      </c>
      <c r="G114">
        <v>38</v>
      </c>
      <c r="H114">
        <v>35</v>
      </c>
      <c r="I114">
        <v>31</v>
      </c>
      <c r="J114">
        <v>30</v>
      </c>
      <c r="L114">
        <v>37</v>
      </c>
      <c r="M114">
        <v>31</v>
      </c>
      <c r="N114">
        <v>26</v>
      </c>
      <c r="V114">
        <v>295</v>
      </c>
    </row>
    <row r="115" spans="1:22">
      <c r="A115" t="s">
        <v>49</v>
      </c>
      <c r="D115">
        <v>12</v>
      </c>
      <c r="E115">
        <v>13</v>
      </c>
      <c r="F115">
        <v>6</v>
      </c>
      <c r="G115">
        <v>15</v>
      </c>
      <c r="H115">
        <v>18</v>
      </c>
      <c r="I115">
        <v>19</v>
      </c>
      <c r="J115">
        <v>14</v>
      </c>
      <c r="L115">
        <v>17</v>
      </c>
      <c r="M115">
        <v>20</v>
      </c>
      <c r="N115">
        <v>16</v>
      </c>
      <c r="V115">
        <v>150</v>
      </c>
    </row>
    <row r="116" spans="1:22" ht="14.25">
      <c r="A116" s="43" t="s">
        <v>53</v>
      </c>
      <c r="B116" s="44"/>
      <c r="C116" s="44"/>
      <c r="D116" s="44">
        <v>2</v>
      </c>
      <c r="E116" s="44">
        <v>3</v>
      </c>
      <c r="F116" s="44">
        <v>1</v>
      </c>
      <c r="G116" s="44">
        <v>3</v>
      </c>
      <c r="H116" s="44">
        <v>3</v>
      </c>
      <c r="I116" s="44">
        <v>1</v>
      </c>
      <c r="J116" s="44">
        <v>0</v>
      </c>
      <c r="K116" s="44"/>
      <c r="L116" s="44">
        <v>1</v>
      </c>
      <c r="M116" s="44">
        <v>1</v>
      </c>
      <c r="N116" s="44"/>
      <c r="O116" s="44"/>
      <c r="P116" s="44"/>
      <c r="Q116" s="44"/>
      <c r="R116" s="44"/>
      <c r="S116" s="44"/>
      <c r="T116" s="44"/>
      <c r="U116" s="44"/>
      <c r="V116" s="45">
        <v>15</v>
      </c>
    </row>
    <row r="117" spans="1:22">
      <c r="A117" t="s">
        <v>52</v>
      </c>
      <c r="D117">
        <v>33</v>
      </c>
      <c r="E117">
        <v>35</v>
      </c>
      <c r="F117">
        <v>10</v>
      </c>
      <c r="G117">
        <v>18</v>
      </c>
      <c r="H117">
        <v>21</v>
      </c>
      <c r="I117">
        <v>21</v>
      </c>
      <c r="J117">
        <v>20</v>
      </c>
      <c r="L117">
        <v>19</v>
      </c>
      <c r="M117">
        <v>14</v>
      </c>
      <c r="V117">
        <v>191</v>
      </c>
    </row>
    <row r="118" spans="1:22" ht="14.25">
      <c r="A118" s="37" t="s">
        <v>54</v>
      </c>
      <c r="B118" s="38"/>
      <c r="C118" s="38"/>
      <c r="D118" s="38">
        <v>20</v>
      </c>
      <c r="E118" s="38">
        <v>24</v>
      </c>
      <c r="F118" s="38">
        <v>11</v>
      </c>
      <c r="G118" s="38">
        <v>37</v>
      </c>
      <c r="H118" s="38">
        <v>47</v>
      </c>
      <c r="I118" s="38">
        <v>30</v>
      </c>
      <c r="J118" s="38">
        <v>39</v>
      </c>
      <c r="K118" s="38"/>
      <c r="L118" s="38">
        <v>33</v>
      </c>
      <c r="M118" s="38">
        <v>40</v>
      </c>
      <c r="N118" s="38">
        <v>32</v>
      </c>
      <c r="O118" s="38"/>
      <c r="P118" s="38"/>
      <c r="Q118" s="38"/>
      <c r="R118" s="38"/>
      <c r="S118" s="38"/>
      <c r="T118" s="38"/>
      <c r="U118" s="38"/>
      <c r="V118" s="39">
        <v>313</v>
      </c>
    </row>
    <row r="119" spans="1:22" ht="14.25">
      <c r="A119" s="40" t="s">
        <v>47</v>
      </c>
      <c r="B119" s="41"/>
      <c r="C119" s="41"/>
      <c r="D119" s="41">
        <v>33</v>
      </c>
      <c r="E119" s="41">
        <v>36</v>
      </c>
      <c r="F119" s="41">
        <v>14</v>
      </c>
      <c r="G119" s="41">
        <v>39</v>
      </c>
      <c r="H119" s="41">
        <v>37</v>
      </c>
      <c r="I119" s="41">
        <v>36</v>
      </c>
      <c r="J119" s="41">
        <v>26</v>
      </c>
      <c r="K119" s="41"/>
      <c r="L119" s="41">
        <v>36</v>
      </c>
      <c r="M119" s="41">
        <v>37</v>
      </c>
      <c r="N119" s="41">
        <v>38</v>
      </c>
      <c r="O119" s="41"/>
      <c r="P119" s="41"/>
      <c r="Q119" s="41"/>
      <c r="R119" s="41"/>
      <c r="S119" s="41"/>
      <c r="T119" s="41"/>
      <c r="U119" s="41"/>
      <c r="V119" s="42">
        <v>332</v>
      </c>
    </row>
    <row r="120" spans="1:22" ht="14.25">
      <c r="A120" s="43" t="s">
        <v>50</v>
      </c>
      <c r="B120" s="44"/>
      <c r="C120" s="44"/>
      <c r="D120" s="44">
        <v>6</v>
      </c>
      <c r="E120" s="44">
        <v>6</v>
      </c>
      <c r="F120" s="44">
        <v>3</v>
      </c>
      <c r="G120" s="44">
        <v>7</v>
      </c>
      <c r="H120" s="44">
        <v>7</v>
      </c>
      <c r="I120" s="44">
        <v>5</v>
      </c>
      <c r="J120" s="44">
        <v>5</v>
      </c>
      <c r="K120" s="44"/>
      <c r="L120" s="44">
        <v>8</v>
      </c>
      <c r="M120" s="44">
        <v>8</v>
      </c>
      <c r="N120" s="44">
        <v>9</v>
      </c>
      <c r="O120" s="44"/>
      <c r="P120" s="44"/>
      <c r="Q120" s="44"/>
      <c r="R120" s="44"/>
      <c r="S120" s="44"/>
      <c r="T120" s="44"/>
      <c r="U120" s="44"/>
      <c r="V120" s="45">
        <v>64</v>
      </c>
    </row>
    <row r="121" spans="1:22">
      <c r="A121" t="s">
        <v>51</v>
      </c>
      <c r="D121">
        <v>21</v>
      </c>
      <c r="E121">
        <v>25</v>
      </c>
      <c r="F121">
        <v>8</v>
      </c>
      <c r="G121">
        <v>24</v>
      </c>
      <c r="H121">
        <v>25</v>
      </c>
      <c r="I121">
        <v>30</v>
      </c>
      <c r="J121">
        <v>21</v>
      </c>
      <c r="L121">
        <v>20</v>
      </c>
      <c r="M121">
        <v>16</v>
      </c>
      <c r="N121">
        <v>17</v>
      </c>
      <c r="V121">
        <v>207</v>
      </c>
    </row>
    <row r="122" spans="1:22">
      <c r="A122" t="s">
        <v>57</v>
      </c>
      <c r="D122">
        <v>173</v>
      </c>
      <c r="E122">
        <v>189</v>
      </c>
      <c r="F122">
        <v>83</v>
      </c>
      <c r="G122">
        <v>203</v>
      </c>
      <c r="H122">
        <v>212</v>
      </c>
      <c r="I122">
        <v>184</v>
      </c>
      <c r="J122">
        <v>169</v>
      </c>
      <c r="L122">
        <v>193</v>
      </c>
      <c r="M122">
        <v>189</v>
      </c>
      <c r="N122">
        <v>158</v>
      </c>
      <c r="V122">
        <v>1753</v>
      </c>
    </row>
  </sheetData>
  <conditionalFormatting pivot="1" sqref="B3:B20">
    <cfRule type="cellIs" dxfId="20" priority="26" operator="lessThanOrEqual">
      <formula>MIN($B$3:$B$20)</formula>
    </cfRule>
  </conditionalFormatting>
  <conditionalFormatting pivot="1" sqref="B3:B20">
    <cfRule type="cellIs" dxfId="19" priority="25" operator="greaterThanOrEqual">
      <formula>MAX($B$3:$B$20)</formula>
    </cfRule>
  </conditionalFormatting>
  <conditionalFormatting pivot="1" sqref="B26:B34">
    <cfRule type="cellIs" dxfId="18" priority="24" operator="greaterThan">
      <formula>MAX($B$26:$B$34)-1</formula>
    </cfRule>
  </conditionalFormatting>
  <conditionalFormatting pivot="1" sqref="B26:B34">
    <cfRule type="cellIs" dxfId="17" priority="23" operator="lessThan">
      <formula>MIN($B$26:$B$34)+50</formula>
    </cfRule>
  </conditionalFormatting>
  <conditionalFormatting pivot="1" sqref="B41:B45">
    <cfRule type="cellIs" dxfId="16" priority="22" operator="greaterThan">
      <formula>MAX($B$41:$B$45)-1</formula>
    </cfRule>
  </conditionalFormatting>
  <conditionalFormatting pivot="1" sqref="B41:B45">
    <cfRule type="cellIs" dxfId="15" priority="21" operator="lessThan">
      <formula>MIN($B$41:$B$45)+1</formula>
    </cfRule>
  </conditionalFormatting>
  <conditionalFormatting pivot="1" sqref="B76:F79">
    <cfRule type="cellIs" dxfId="14" priority="20" operator="greaterThan">
      <formula>MAX($B$76:$F$80)-1</formula>
    </cfRule>
  </conditionalFormatting>
  <conditionalFormatting pivot="1" sqref="F76:F79">
    <cfRule type="cellIs" dxfId="13" priority="19" operator="lessThan">
      <formula>MIN($F$76:$F$80)+1</formula>
    </cfRule>
  </conditionalFormatting>
  <conditionalFormatting pivot="1" sqref="B76:B79">
    <cfRule type="cellIs" dxfId="12" priority="18" operator="greaterThan">
      <formula>MAX($B$76:$B$80)-1</formula>
    </cfRule>
  </conditionalFormatting>
  <conditionalFormatting pivot="1" sqref="D76:D79">
    <cfRule type="cellIs" dxfId="11" priority="17" operator="greaterThan">
      <formula>MAX($D$76:$D$80)-1</formula>
    </cfRule>
  </conditionalFormatting>
  <conditionalFormatting pivot="1" sqref="E76:E79">
    <cfRule type="cellIs" dxfId="10" priority="16" operator="greaterThan">
      <formula>MAX($D$76:$D$80)-1</formula>
    </cfRule>
  </conditionalFormatting>
  <conditionalFormatting pivot="1" sqref="E76:E79">
    <cfRule type="cellIs" dxfId="9" priority="15" operator="greaterThan">
      <formula>MAX($E$76:$E$80)-1</formula>
    </cfRule>
  </conditionalFormatting>
  <conditionalFormatting pivot="1" sqref="B76:B79">
    <cfRule type="cellIs" dxfId="8" priority="14" operator="lessThan">
      <formula>MIN($B$76:$B$80)+1</formula>
    </cfRule>
  </conditionalFormatting>
  <conditionalFormatting pivot="1" sqref="D76:E79">
    <cfRule type="cellIs" dxfId="7" priority="13" operator="lessThan">
      <formula>MIN($D$76:$D$80)+1</formula>
    </cfRule>
  </conditionalFormatting>
  <conditionalFormatting pivot="1" sqref="E76:E79">
    <cfRule type="cellIs" dxfId="6" priority="12" operator="lessThan">
      <formula>MIN($E$76:$E$80)+1</formula>
    </cfRule>
  </conditionalFormatting>
  <conditionalFormatting pivot="1" sqref="E88:E105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D88:D105">
    <cfRule type="colorScale" priority="9">
      <colorScale>
        <cfvo type="min"/>
        <cfvo type="max"/>
        <color rgb="FFFCFCFF"/>
        <color rgb="FF63BE7B"/>
      </colorScale>
    </cfRule>
  </conditionalFormatting>
  <conditionalFormatting pivot="1" sqref="G88:J105">
    <cfRule type="colorScale" priority="8">
      <colorScale>
        <cfvo type="min"/>
        <cfvo type="max"/>
        <color rgb="FFFCFCFF"/>
        <color rgb="FF63BE7B"/>
      </colorScale>
    </cfRule>
  </conditionalFormatting>
  <conditionalFormatting pivot="1" sqref="L88:O105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Q88:Q105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AA88:AA105">
    <cfRule type="colorScale" priority="5">
      <colorScale>
        <cfvo type="min"/>
        <cfvo type="max"/>
        <color rgb="FFFCFCFF"/>
        <color rgb="FF63BE7B"/>
      </colorScale>
    </cfRule>
  </conditionalFormatting>
  <conditionalFormatting sqref="A90:C90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D113:E121 F113:U121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V113:V121">
    <cfRule type="cellIs" dxfId="5" priority="2" operator="greaterThan">
      <formula>MAX($V$113:$V$121)-20</formula>
    </cfRule>
  </conditionalFormatting>
  <conditionalFormatting pivot="1" sqref="V113:V121">
    <cfRule type="cellIs" dxfId="4" priority="1" operator="lessThan">
      <formula>MIN($V$113:$V$121)+50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6B59-A783-478A-B14A-A2FC40E58FD6}">
  <sheetPr>
    <tabColor theme="4" tint="0.79998168889431442"/>
  </sheetPr>
  <dimension ref="A1:S173"/>
  <sheetViews>
    <sheetView tabSelected="1" topLeftCell="E123" workbookViewId="0">
      <selection activeCell="L152" sqref="A152:XFD174"/>
    </sheetView>
  </sheetViews>
  <sheetFormatPr baseColWidth="10" defaultColWidth="0" defaultRowHeight="12.75" zeroHeight="1"/>
  <cols>
    <col min="1" max="1" width="3.7109375" style="33" customWidth="1"/>
    <col min="2" max="9" width="11.42578125" style="33" customWidth="1"/>
    <col min="10" max="10" width="3.7109375" style="33" customWidth="1"/>
    <col min="11" max="11" width="17.85546875" style="33" bestFit="1" customWidth="1"/>
    <col min="12" max="12" width="12.7109375" style="33" bestFit="1" customWidth="1"/>
    <col min="13" max="18" width="11.42578125" style="33" customWidth="1"/>
    <col min="19" max="19" width="3.7109375" style="33" customWidth="1"/>
    <col min="20" max="16384" width="11.42578125" style="33" hidden="1"/>
  </cols>
  <sheetData>
    <row r="1" spans="2:18">
      <c r="B1" s="53"/>
      <c r="C1" s="53"/>
      <c r="D1" s="53"/>
      <c r="E1" s="53"/>
      <c r="F1" s="53"/>
      <c r="G1" s="53"/>
      <c r="H1" s="53"/>
      <c r="I1" s="53"/>
      <c r="K1" s="53"/>
      <c r="L1" s="53"/>
      <c r="M1" s="53"/>
      <c r="N1" s="53"/>
      <c r="O1" s="53"/>
      <c r="P1" s="53"/>
      <c r="Q1" s="53"/>
      <c r="R1" s="53"/>
    </row>
    <row r="2" spans="2:18">
      <c r="B2" s="53"/>
      <c r="C2" s="53"/>
      <c r="D2" s="53"/>
      <c r="E2" s="53"/>
      <c r="F2" s="53"/>
      <c r="G2" s="53"/>
      <c r="H2" s="53"/>
      <c r="I2" s="53"/>
      <c r="K2" s="53"/>
      <c r="L2" s="53"/>
      <c r="M2" s="53"/>
      <c r="N2" s="53"/>
      <c r="O2" s="53"/>
      <c r="P2" s="53"/>
      <c r="Q2" s="53"/>
      <c r="R2" s="53"/>
    </row>
    <row r="3" spans="2:18">
      <c r="B3" s="53"/>
      <c r="C3" s="53"/>
      <c r="D3" s="53"/>
      <c r="E3" s="53"/>
      <c r="F3" s="53"/>
      <c r="G3" s="53"/>
      <c r="H3" s="53"/>
      <c r="I3" s="53"/>
      <c r="K3" s="53"/>
      <c r="L3" s="53"/>
      <c r="M3" s="53"/>
      <c r="N3" s="53"/>
      <c r="O3" s="53"/>
      <c r="P3" s="53"/>
      <c r="Q3" s="53"/>
      <c r="R3" s="53"/>
    </row>
    <row r="4" spans="2:18">
      <c r="B4" s="53"/>
      <c r="C4" s="53"/>
      <c r="D4" s="53"/>
      <c r="E4" s="53"/>
      <c r="F4" s="53"/>
      <c r="G4" s="53"/>
      <c r="H4" s="53"/>
      <c r="I4" s="53"/>
      <c r="K4" s="53"/>
      <c r="L4" s="53"/>
      <c r="M4" s="53"/>
      <c r="N4" s="53"/>
      <c r="O4" s="53"/>
      <c r="P4" s="53"/>
      <c r="Q4" s="53"/>
      <c r="R4" s="53"/>
    </row>
    <row r="5" spans="2:18">
      <c r="B5" s="53"/>
      <c r="C5" s="53"/>
      <c r="D5" s="53"/>
      <c r="E5" s="53"/>
      <c r="F5" s="53"/>
      <c r="G5" s="53"/>
      <c r="H5" s="53"/>
      <c r="I5" s="53"/>
      <c r="K5" s="53"/>
      <c r="L5" s="53"/>
      <c r="M5" s="53"/>
      <c r="N5" s="53"/>
      <c r="O5" s="53"/>
      <c r="P5" s="53"/>
      <c r="Q5" s="53"/>
      <c r="R5" s="53"/>
    </row>
    <row r="6" spans="2:18">
      <c r="B6" s="53"/>
      <c r="C6" s="53"/>
      <c r="D6" s="53"/>
      <c r="E6" s="53"/>
      <c r="F6" s="53"/>
      <c r="G6" s="53"/>
      <c r="H6" s="53"/>
      <c r="I6" s="53"/>
      <c r="K6" s="53"/>
      <c r="L6" s="53"/>
      <c r="M6" s="53"/>
      <c r="N6" s="53"/>
      <c r="O6" s="53"/>
      <c r="P6" s="53"/>
      <c r="Q6" s="53"/>
      <c r="R6" s="53"/>
    </row>
    <row r="7" spans="2:18">
      <c r="B7" s="53"/>
      <c r="C7" s="53"/>
      <c r="D7" s="53"/>
      <c r="E7" s="53"/>
      <c r="F7" s="53"/>
      <c r="G7" s="53"/>
      <c r="H7" s="53"/>
      <c r="I7" s="53"/>
      <c r="K7" s="53"/>
      <c r="L7" s="53"/>
      <c r="M7" s="53"/>
      <c r="N7" s="53"/>
      <c r="O7" s="53"/>
      <c r="P7" s="53"/>
      <c r="Q7" s="53"/>
      <c r="R7" s="53"/>
    </row>
    <row r="8" spans="2:18">
      <c r="B8" s="53"/>
      <c r="C8" s="53"/>
      <c r="D8" s="53"/>
      <c r="E8" s="53"/>
      <c r="F8" s="53"/>
      <c r="G8" s="53"/>
      <c r="H8" s="53"/>
      <c r="I8" s="53"/>
      <c r="K8" s="53"/>
      <c r="L8" s="53"/>
      <c r="M8" s="53"/>
      <c r="N8" s="53"/>
      <c r="O8" s="53"/>
      <c r="P8" s="53"/>
      <c r="Q8" s="53"/>
      <c r="R8" s="53"/>
    </row>
    <row r="9" spans="2:18">
      <c r="B9" s="53"/>
      <c r="C9" s="53"/>
      <c r="D9" s="53"/>
      <c r="E9" s="53"/>
      <c r="F9" s="53"/>
      <c r="G9" s="53"/>
      <c r="H9" s="53"/>
      <c r="I9" s="53"/>
      <c r="K9" s="53"/>
      <c r="L9" s="53"/>
      <c r="M9" s="53"/>
      <c r="N9" s="53"/>
      <c r="O9" s="53"/>
      <c r="P9" s="53"/>
      <c r="Q9" s="53"/>
      <c r="R9" s="53"/>
    </row>
    <row r="10" spans="2:18">
      <c r="B10" s="53"/>
      <c r="C10" s="53"/>
      <c r="D10" s="53"/>
      <c r="E10" s="53"/>
      <c r="F10" s="53"/>
      <c r="G10" s="53"/>
      <c r="H10" s="53"/>
      <c r="I10" s="53"/>
      <c r="K10" s="53"/>
      <c r="L10" s="53"/>
      <c r="M10" s="53"/>
      <c r="N10" s="53"/>
      <c r="O10" s="53"/>
      <c r="P10" s="53"/>
      <c r="Q10" s="53"/>
      <c r="R10" s="53"/>
    </row>
    <row r="11" spans="2:18">
      <c r="B11" s="53"/>
      <c r="C11" s="53"/>
      <c r="D11" s="53"/>
      <c r="E11" s="53"/>
      <c r="F11" s="53"/>
      <c r="G11" s="53"/>
      <c r="H11" s="53"/>
      <c r="I11" s="53"/>
      <c r="K11" s="53"/>
      <c r="L11" s="53"/>
      <c r="M11" s="53"/>
      <c r="N11" s="53"/>
      <c r="O11" s="53"/>
      <c r="P11" s="53"/>
      <c r="Q11" s="53"/>
      <c r="R11" s="53"/>
    </row>
    <row r="12" spans="2:18">
      <c r="B12" s="53"/>
      <c r="C12" s="53"/>
      <c r="D12" s="53"/>
      <c r="E12" s="53"/>
      <c r="F12" s="53"/>
      <c r="G12" s="53"/>
      <c r="H12" s="53"/>
      <c r="I12" s="53"/>
      <c r="K12" s="53"/>
      <c r="L12" s="53"/>
      <c r="M12" s="53"/>
      <c r="N12" s="53"/>
      <c r="O12" s="53"/>
      <c r="P12" s="53"/>
      <c r="Q12" s="53"/>
      <c r="R12" s="53"/>
    </row>
    <row r="13" spans="2:18">
      <c r="B13" s="53"/>
      <c r="C13" s="53"/>
      <c r="D13" s="53"/>
      <c r="E13" s="53"/>
      <c r="F13" s="53"/>
      <c r="G13" s="53"/>
      <c r="H13" s="53"/>
      <c r="I13" s="53"/>
      <c r="K13" s="53"/>
      <c r="L13" s="53"/>
      <c r="M13" s="53"/>
      <c r="N13" s="53"/>
      <c r="O13" s="53"/>
      <c r="P13" s="53"/>
      <c r="Q13" s="53"/>
      <c r="R13" s="53"/>
    </row>
    <row r="14" spans="2:18">
      <c r="B14" s="53"/>
      <c r="C14" s="53"/>
      <c r="D14" s="53"/>
      <c r="E14" s="53"/>
      <c r="F14" s="53"/>
      <c r="G14" s="53"/>
      <c r="H14" s="53"/>
      <c r="I14" s="53"/>
      <c r="K14" s="53"/>
      <c r="L14" s="53"/>
      <c r="M14" s="53"/>
      <c r="N14" s="53"/>
      <c r="O14" s="53"/>
      <c r="P14" s="53"/>
      <c r="Q14" s="53"/>
      <c r="R14" s="53"/>
    </row>
    <row r="15" spans="2:18">
      <c r="B15" s="53"/>
      <c r="C15" s="53"/>
      <c r="D15" s="53"/>
      <c r="E15" s="53"/>
      <c r="F15" s="53"/>
      <c r="G15" s="53"/>
      <c r="H15" s="53"/>
      <c r="I15" s="53"/>
      <c r="K15" s="53"/>
      <c r="L15" s="53"/>
      <c r="M15" s="53"/>
      <c r="N15" s="53"/>
      <c r="O15" s="53"/>
      <c r="P15" s="53"/>
      <c r="Q15" s="53"/>
      <c r="R15" s="53"/>
    </row>
    <row r="16" spans="2:18">
      <c r="B16" s="53"/>
      <c r="C16" s="53"/>
      <c r="D16" s="53"/>
      <c r="E16" s="53"/>
      <c r="F16" s="53"/>
      <c r="G16" s="53"/>
      <c r="H16" s="53"/>
      <c r="I16" s="53"/>
      <c r="K16" s="53"/>
      <c r="L16" s="53"/>
      <c r="M16" s="53"/>
      <c r="N16" s="53"/>
      <c r="O16" s="53"/>
      <c r="P16" s="53"/>
      <c r="Q16" s="53"/>
      <c r="R16" s="53"/>
    </row>
    <row r="17" spans="2:18">
      <c r="B17" s="53"/>
      <c r="C17" s="53"/>
      <c r="D17" s="53"/>
      <c r="E17" s="53"/>
      <c r="F17" s="53"/>
      <c r="G17" s="53"/>
      <c r="H17" s="53"/>
      <c r="I17" s="53"/>
      <c r="K17" s="53"/>
      <c r="L17" s="53"/>
      <c r="M17" s="53"/>
      <c r="N17" s="53"/>
      <c r="O17" s="53"/>
      <c r="P17" s="53"/>
      <c r="Q17" s="53"/>
      <c r="R17" s="53"/>
    </row>
    <row r="18" spans="2:18">
      <c r="B18" s="53"/>
      <c r="C18" s="53"/>
      <c r="D18" s="53"/>
      <c r="E18" s="53"/>
      <c r="F18" s="53"/>
      <c r="G18" s="53"/>
      <c r="H18" s="53"/>
      <c r="I18" s="53"/>
      <c r="K18" s="53"/>
      <c r="L18" s="53"/>
      <c r="M18" s="53"/>
      <c r="N18" s="53"/>
      <c r="O18" s="53"/>
      <c r="P18" s="53"/>
      <c r="Q18" s="53"/>
      <c r="R18" s="53"/>
    </row>
    <row r="19" spans="2:18">
      <c r="B19" s="53"/>
      <c r="C19" s="53"/>
      <c r="D19" s="53"/>
      <c r="E19" s="53"/>
      <c r="F19" s="53"/>
      <c r="G19" s="53"/>
      <c r="H19" s="53"/>
      <c r="I19" s="53"/>
      <c r="K19" s="53"/>
      <c r="L19" s="53"/>
      <c r="M19" s="53"/>
      <c r="N19" s="53"/>
      <c r="O19" s="53"/>
      <c r="P19" s="53"/>
      <c r="Q19" s="53"/>
      <c r="R19" s="53"/>
    </row>
    <row r="20" spans="2:18">
      <c r="B20" s="53"/>
      <c r="C20" s="53"/>
      <c r="D20" s="53"/>
      <c r="E20" s="53"/>
      <c r="F20" s="53"/>
      <c r="G20" s="53"/>
      <c r="H20" s="53"/>
      <c r="I20" s="53"/>
      <c r="K20" s="53"/>
      <c r="L20" s="53"/>
      <c r="M20" s="53"/>
      <c r="N20" s="53"/>
      <c r="O20" s="53"/>
      <c r="P20" s="53"/>
      <c r="Q20" s="53"/>
      <c r="R20" s="53"/>
    </row>
    <row r="21" spans="2:18">
      <c r="B21" s="53"/>
      <c r="C21" s="53"/>
      <c r="D21" s="53"/>
      <c r="E21" s="53"/>
      <c r="F21" s="53"/>
      <c r="G21" s="53"/>
      <c r="H21" s="53"/>
      <c r="I21" s="53"/>
      <c r="K21" s="53"/>
      <c r="L21" s="53"/>
      <c r="M21" s="53"/>
      <c r="N21" s="53"/>
      <c r="O21" s="53"/>
      <c r="P21" s="53"/>
      <c r="Q21" s="53"/>
      <c r="R21" s="53"/>
    </row>
    <row r="22" spans="2:18">
      <c r="B22" s="53"/>
      <c r="C22" s="53"/>
      <c r="D22" s="53"/>
      <c r="E22" s="53"/>
      <c r="F22" s="53"/>
      <c r="G22" s="53"/>
      <c r="H22" s="53"/>
      <c r="I22" s="53"/>
      <c r="K22" s="53"/>
      <c r="L22" s="53"/>
      <c r="M22" s="53"/>
      <c r="N22" s="53"/>
      <c r="O22" s="53"/>
      <c r="P22" s="53"/>
      <c r="Q22" s="53"/>
      <c r="R22" s="53"/>
    </row>
    <row r="23" spans="2:18">
      <c r="B23" s="53"/>
      <c r="C23" s="53"/>
      <c r="D23" s="53"/>
      <c r="E23" s="53"/>
      <c r="F23" s="53"/>
      <c r="G23" s="53"/>
      <c r="H23" s="53"/>
      <c r="I23" s="53"/>
      <c r="K23" s="53"/>
      <c r="L23" s="53"/>
      <c r="M23" s="53"/>
      <c r="N23" s="53"/>
      <c r="O23" s="53"/>
      <c r="P23" s="53"/>
      <c r="Q23" s="53"/>
      <c r="R23" s="53"/>
    </row>
    <row r="24" spans="2:18">
      <c r="B24" s="53"/>
      <c r="C24" s="53"/>
      <c r="D24" s="53"/>
      <c r="E24" s="53"/>
      <c r="F24" s="53"/>
      <c r="G24" s="53"/>
      <c r="H24" s="53"/>
      <c r="I24" s="53"/>
      <c r="K24" s="53"/>
      <c r="L24" s="53"/>
      <c r="M24" s="53"/>
      <c r="N24" s="53"/>
      <c r="O24" s="53"/>
      <c r="P24" s="53"/>
      <c r="Q24" s="53"/>
      <c r="R24" s="53"/>
    </row>
    <row r="25" spans="2:18">
      <c r="B25" s="53"/>
      <c r="C25" s="53"/>
      <c r="D25" s="53"/>
      <c r="E25" s="53"/>
      <c r="F25" s="53"/>
      <c r="G25" s="53"/>
      <c r="H25" s="53"/>
      <c r="I25" s="53"/>
      <c r="K25" s="53"/>
      <c r="L25" s="53"/>
      <c r="M25" s="53"/>
      <c r="N25" s="53"/>
      <c r="O25" s="53"/>
      <c r="P25" s="53"/>
      <c r="Q25" s="53"/>
      <c r="R25" s="53"/>
    </row>
    <row r="26" spans="2:18">
      <c r="B26" s="53"/>
      <c r="C26" s="53"/>
      <c r="D26" s="53"/>
      <c r="E26" s="53"/>
      <c r="F26" s="53"/>
      <c r="G26" s="53"/>
      <c r="H26" s="53"/>
      <c r="I26" s="53"/>
      <c r="K26" s="53"/>
      <c r="L26" s="53"/>
      <c r="M26" s="53"/>
      <c r="N26" s="53"/>
      <c r="O26" s="53"/>
      <c r="P26" s="53"/>
      <c r="Q26" s="53"/>
      <c r="R26" s="53"/>
    </row>
    <row r="27" spans="2:18">
      <c r="B27" s="53"/>
      <c r="C27" s="53"/>
      <c r="D27" s="53"/>
      <c r="E27" s="53"/>
      <c r="F27" s="53"/>
      <c r="G27" s="53"/>
      <c r="H27" s="53"/>
      <c r="I27" s="53"/>
      <c r="K27" s="53"/>
      <c r="L27" s="53"/>
      <c r="M27" s="53"/>
      <c r="N27" s="53"/>
      <c r="O27" s="53"/>
      <c r="P27" s="53"/>
      <c r="Q27" s="53"/>
      <c r="R27" s="53"/>
    </row>
    <row r="28" spans="2:18"/>
    <row r="29" spans="2:18"/>
    <row r="30" spans="2:18">
      <c r="B30" s="53"/>
      <c r="C30" s="53"/>
      <c r="D30" s="53"/>
      <c r="E30" s="53"/>
      <c r="F30" s="53"/>
      <c r="G30" s="53"/>
      <c r="H30" s="53"/>
      <c r="I30" s="53"/>
      <c r="K30" s="53"/>
      <c r="L30" s="53"/>
      <c r="M30" s="53"/>
      <c r="N30" s="53"/>
      <c r="O30" s="53"/>
      <c r="P30" s="53"/>
      <c r="Q30" s="53"/>
      <c r="R30" s="53"/>
    </row>
    <row r="31" spans="2:18">
      <c r="B31" s="53"/>
      <c r="C31" s="53"/>
      <c r="D31" s="53"/>
      <c r="E31" s="53"/>
      <c r="F31" s="53"/>
      <c r="G31" s="53"/>
      <c r="H31" s="53"/>
      <c r="I31" s="53"/>
      <c r="K31" s="53"/>
      <c r="L31" s="53"/>
      <c r="M31" s="53"/>
      <c r="N31" s="53"/>
      <c r="O31" s="53"/>
      <c r="P31" s="53"/>
      <c r="Q31" s="53"/>
      <c r="R31" s="53"/>
    </row>
    <row r="32" spans="2:18">
      <c r="B32" s="53"/>
      <c r="C32" s="53"/>
      <c r="D32" s="53"/>
      <c r="E32" s="53"/>
      <c r="F32" s="53"/>
      <c r="G32" s="53"/>
      <c r="H32" s="53"/>
      <c r="I32" s="53"/>
      <c r="K32" s="53"/>
      <c r="L32" s="53"/>
      <c r="M32" s="53"/>
      <c r="N32" s="53"/>
      <c r="O32" s="53"/>
      <c r="P32" s="53"/>
      <c r="Q32" s="53"/>
      <c r="R32" s="53"/>
    </row>
    <row r="33" spans="2:18">
      <c r="B33" s="53"/>
      <c r="C33" s="53"/>
      <c r="D33" s="53"/>
      <c r="E33" s="53"/>
      <c r="F33" s="53"/>
      <c r="G33" s="53"/>
      <c r="H33" s="53"/>
      <c r="I33" s="53"/>
      <c r="K33" s="53"/>
      <c r="L33" s="53"/>
      <c r="M33" s="53"/>
      <c r="N33" s="53"/>
      <c r="O33" s="53"/>
      <c r="P33" s="53"/>
      <c r="Q33" s="53"/>
      <c r="R33" s="53"/>
    </row>
    <row r="34" spans="2:18">
      <c r="B34" s="53"/>
      <c r="C34" s="53"/>
      <c r="D34" s="53"/>
      <c r="E34" s="53"/>
      <c r="F34" s="53"/>
      <c r="G34" s="53"/>
      <c r="H34" s="53"/>
      <c r="I34" s="53"/>
      <c r="K34" s="53"/>
      <c r="L34" s="53"/>
      <c r="M34" s="53"/>
      <c r="N34" s="53"/>
      <c r="O34" s="53"/>
      <c r="P34" s="53"/>
      <c r="Q34" s="53"/>
      <c r="R34" s="53"/>
    </row>
    <row r="35" spans="2:18">
      <c r="B35" s="53"/>
      <c r="C35" s="53"/>
      <c r="D35" s="53"/>
      <c r="E35" s="53"/>
      <c r="F35" s="53"/>
      <c r="G35" s="53"/>
      <c r="H35" s="53"/>
      <c r="I35" s="53"/>
      <c r="K35" s="53"/>
      <c r="L35" s="53"/>
      <c r="M35" s="53"/>
      <c r="N35" s="53"/>
      <c r="O35" s="53"/>
      <c r="P35" s="53"/>
      <c r="Q35" s="53"/>
      <c r="R35" s="53"/>
    </row>
    <row r="36" spans="2:18">
      <c r="B36" s="53"/>
      <c r="C36" s="53"/>
      <c r="D36" s="53"/>
      <c r="E36" s="53"/>
      <c r="F36" s="53"/>
      <c r="G36" s="53"/>
      <c r="H36" s="53"/>
      <c r="I36" s="53"/>
      <c r="K36" s="53"/>
      <c r="L36" s="53"/>
      <c r="M36" s="53"/>
      <c r="N36" s="53"/>
      <c r="O36" s="53"/>
      <c r="P36" s="53"/>
      <c r="Q36" s="53"/>
      <c r="R36" s="53"/>
    </row>
    <row r="37" spans="2:18">
      <c r="B37" s="53"/>
      <c r="C37" s="53"/>
      <c r="D37" s="53"/>
      <c r="E37" s="53"/>
      <c r="F37" s="53"/>
      <c r="G37" s="53"/>
      <c r="H37" s="53"/>
      <c r="I37" s="53"/>
      <c r="K37" s="53"/>
      <c r="L37" s="53"/>
      <c r="M37" s="53"/>
      <c r="N37" s="53"/>
      <c r="O37" s="53"/>
      <c r="P37" s="53"/>
      <c r="Q37" s="53"/>
      <c r="R37" s="53"/>
    </row>
    <row r="38" spans="2:18">
      <c r="B38" s="53"/>
      <c r="C38" s="53"/>
      <c r="D38" s="53"/>
      <c r="E38" s="53"/>
      <c r="F38" s="53"/>
      <c r="G38" s="53"/>
      <c r="H38" s="53"/>
      <c r="I38" s="53"/>
      <c r="K38" s="53"/>
      <c r="L38" s="53"/>
      <c r="M38" s="53"/>
      <c r="N38" s="53"/>
      <c r="O38" s="53"/>
      <c r="P38" s="53"/>
      <c r="Q38" s="53"/>
      <c r="R38" s="53"/>
    </row>
    <row r="39" spans="2:18">
      <c r="B39" s="53"/>
      <c r="C39" s="53"/>
      <c r="D39" s="53"/>
      <c r="E39" s="53"/>
      <c r="F39" s="53"/>
      <c r="G39" s="53"/>
      <c r="H39" s="53"/>
      <c r="I39" s="53"/>
      <c r="K39" s="53"/>
      <c r="L39" s="53"/>
      <c r="M39" s="53"/>
      <c r="N39" s="53"/>
      <c r="O39" s="53"/>
      <c r="P39" s="53"/>
      <c r="Q39" s="53"/>
      <c r="R39" s="53"/>
    </row>
    <row r="40" spans="2:18">
      <c r="B40" s="53"/>
      <c r="C40" s="53"/>
      <c r="D40" s="53"/>
      <c r="E40" s="53"/>
      <c r="F40" s="53"/>
      <c r="G40" s="53"/>
      <c r="H40" s="53"/>
      <c r="I40" s="53"/>
      <c r="K40" s="53"/>
      <c r="L40" s="53"/>
      <c r="M40" s="53"/>
      <c r="N40" s="53"/>
      <c r="O40" s="53"/>
      <c r="P40" s="53"/>
      <c r="Q40" s="53"/>
      <c r="R40" s="53"/>
    </row>
    <row r="41" spans="2:18">
      <c r="B41" s="53"/>
      <c r="C41" s="53"/>
      <c r="D41" s="53"/>
      <c r="E41" s="53"/>
      <c r="F41" s="53"/>
      <c r="G41" s="53"/>
      <c r="H41" s="53"/>
      <c r="I41" s="53"/>
      <c r="K41" s="53"/>
      <c r="L41" s="53"/>
      <c r="M41" s="53"/>
      <c r="N41" s="53"/>
      <c r="O41" s="53"/>
      <c r="P41" s="53"/>
      <c r="Q41" s="53"/>
      <c r="R41" s="53"/>
    </row>
    <row r="42" spans="2:18">
      <c r="B42" s="53"/>
      <c r="C42" s="53"/>
      <c r="D42" s="53"/>
      <c r="E42" s="53"/>
      <c r="F42" s="53"/>
      <c r="G42" s="53"/>
      <c r="H42" s="53"/>
      <c r="I42" s="53"/>
      <c r="K42" s="53"/>
      <c r="L42" s="53"/>
      <c r="M42" s="53"/>
      <c r="N42" s="53"/>
      <c r="O42" s="53"/>
      <c r="P42" s="53"/>
      <c r="Q42" s="53"/>
      <c r="R42" s="53"/>
    </row>
    <row r="43" spans="2:18">
      <c r="B43" s="53"/>
      <c r="C43" s="53"/>
      <c r="D43" s="53"/>
      <c r="E43" s="53"/>
      <c r="F43" s="53"/>
      <c r="G43" s="53"/>
      <c r="H43" s="53"/>
      <c r="I43" s="53"/>
      <c r="K43" s="53"/>
      <c r="L43" s="53"/>
      <c r="M43" s="53"/>
      <c r="N43" s="53"/>
      <c r="O43" s="53"/>
      <c r="P43" s="53"/>
      <c r="Q43" s="53"/>
      <c r="R43" s="53"/>
    </row>
    <row r="44" spans="2:18">
      <c r="B44" s="53"/>
      <c r="C44" s="53"/>
      <c r="D44" s="53"/>
      <c r="E44" s="53"/>
      <c r="F44" s="53"/>
      <c r="G44" s="53"/>
      <c r="H44" s="53"/>
      <c r="I44" s="53"/>
      <c r="K44" s="53"/>
      <c r="L44" s="53"/>
      <c r="M44" s="53"/>
      <c r="N44" s="53"/>
      <c r="O44" s="53"/>
      <c r="P44" s="53"/>
      <c r="Q44" s="53"/>
      <c r="R44" s="53"/>
    </row>
    <row r="45" spans="2:18">
      <c r="B45" s="53"/>
      <c r="C45" s="53"/>
      <c r="D45" s="53"/>
      <c r="E45" s="53"/>
      <c r="F45" s="53"/>
      <c r="G45" s="53"/>
      <c r="H45" s="53"/>
      <c r="I45" s="53"/>
      <c r="K45" s="53"/>
      <c r="L45" s="53"/>
      <c r="M45" s="53"/>
      <c r="N45" s="53"/>
      <c r="O45" s="53"/>
      <c r="P45" s="53"/>
      <c r="Q45" s="53"/>
      <c r="R45" s="53"/>
    </row>
    <row r="46" spans="2:18">
      <c r="B46" s="53"/>
      <c r="C46" s="53"/>
      <c r="D46" s="53"/>
      <c r="E46" s="53"/>
      <c r="F46" s="53"/>
      <c r="G46" s="53"/>
      <c r="H46" s="53"/>
      <c r="I46" s="53"/>
      <c r="K46" s="53"/>
      <c r="L46" s="53"/>
      <c r="M46" s="53"/>
      <c r="N46" s="53"/>
      <c r="O46" s="53"/>
      <c r="P46" s="53"/>
      <c r="Q46" s="53"/>
      <c r="R46" s="53"/>
    </row>
    <row r="47" spans="2:18">
      <c r="B47" s="53"/>
      <c r="C47" s="53"/>
      <c r="D47" s="53"/>
      <c r="E47" s="53"/>
      <c r="F47" s="53"/>
      <c r="G47" s="53"/>
      <c r="H47" s="53"/>
      <c r="I47" s="53"/>
      <c r="K47" s="53"/>
      <c r="L47" s="53"/>
      <c r="M47" s="53"/>
      <c r="N47" s="53"/>
      <c r="O47" s="53"/>
      <c r="P47" s="53"/>
      <c r="Q47" s="53"/>
      <c r="R47" s="53"/>
    </row>
    <row r="48" spans="2:18">
      <c r="B48" s="53"/>
      <c r="C48" s="53"/>
      <c r="D48" s="53"/>
      <c r="E48" s="53"/>
      <c r="F48" s="53"/>
      <c r="G48" s="53"/>
      <c r="H48" s="53"/>
      <c r="I48" s="53"/>
      <c r="K48" s="53"/>
      <c r="L48" s="53"/>
      <c r="M48" s="53"/>
      <c r="N48" s="53"/>
      <c r="O48" s="53"/>
      <c r="P48" s="53"/>
      <c r="Q48" s="53"/>
      <c r="R48" s="53"/>
    </row>
    <row r="49" spans="2:18">
      <c r="B49" s="53"/>
      <c r="C49" s="53"/>
      <c r="D49" s="53"/>
      <c r="E49" s="53"/>
      <c r="F49" s="53"/>
      <c r="G49" s="53"/>
      <c r="H49" s="53"/>
      <c r="I49" s="53"/>
      <c r="K49" s="53"/>
      <c r="L49" s="53"/>
      <c r="M49" s="53"/>
      <c r="N49" s="53"/>
      <c r="O49" s="53"/>
      <c r="P49" s="53"/>
      <c r="Q49" s="53"/>
      <c r="R49" s="53"/>
    </row>
    <row r="50" spans="2:18">
      <c r="B50" s="53"/>
      <c r="C50" s="53"/>
      <c r="D50" s="53"/>
      <c r="E50" s="53"/>
      <c r="F50" s="53"/>
      <c r="G50" s="53"/>
      <c r="H50" s="53"/>
      <c r="I50" s="53"/>
      <c r="K50" s="53"/>
      <c r="L50" s="53"/>
      <c r="M50" s="53"/>
      <c r="N50" s="53"/>
      <c r="O50" s="53"/>
      <c r="P50" s="53"/>
      <c r="Q50" s="53"/>
      <c r="R50" s="53"/>
    </row>
    <row r="51" spans="2:18">
      <c r="B51" s="53"/>
      <c r="C51" s="53"/>
      <c r="D51" s="53"/>
      <c r="E51" s="53"/>
      <c r="F51" s="53"/>
      <c r="G51" s="53"/>
      <c r="H51" s="53"/>
      <c r="I51" s="53"/>
      <c r="K51" s="53"/>
      <c r="L51" s="53"/>
      <c r="M51" s="53"/>
      <c r="N51" s="53"/>
      <c r="O51" s="53"/>
      <c r="P51" s="53"/>
      <c r="Q51" s="53"/>
      <c r="R51" s="53"/>
    </row>
    <row r="52" spans="2:18">
      <c r="B52" s="53"/>
      <c r="C52" s="53"/>
      <c r="D52" s="53"/>
      <c r="E52" s="53"/>
      <c r="F52" s="53"/>
      <c r="G52" s="53"/>
      <c r="H52" s="53"/>
      <c r="I52" s="53"/>
      <c r="K52" s="53"/>
      <c r="L52" s="53"/>
      <c r="M52" s="53"/>
      <c r="N52" s="53"/>
      <c r="O52" s="53"/>
      <c r="P52" s="53"/>
      <c r="Q52" s="53"/>
      <c r="R52" s="53"/>
    </row>
    <row r="53" spans="2:18"/>
    <row r="54" spans="2:18"/>
    <row r="55" spans="2:18">
      <c r="B55" s="53"/>
      <c r="C55" s="53"/>
      <c r="D55" s="53"/>
      <c r="E55" s="53"/>
      <c r="F55" s="53"/>
      <c r="G55" s="53"/>
      <c r="H55" s="53"/>
      <c r="I55" s="53"/>
      <c r="K55" s="53"/>
      <c r="L55" s="53"/>
      <c r="M55" s="53"/>
      <c r="N55" s="53"/>
      <c r="O55" s="53"/>
      <c r="P55" s="53"/>
      <c r="Q55" s="53"/>
      <c r="R55" s="53"/>
    </row>
    <row r="56" spans="2:18">
      <c r="B56" s="53"/>
      <c r="C56" s="53"/>
      <c r="D56" s="53"/>
      <c r="E56" s="53"/>
      <c r="F56" s="53"/>
      <c r="G56" s="53"/>
      <c r="H56" s="53"/>
      <c r="I56" s="53"/>
      <c r="K56" s="53"/>
      <c r="L56" s="53"/>
      <c r="M56" s="53"/>
      <c r="N56" s="53"/>
      <c r="O56" s="53"/>
      <c r="P56" s="53"/>
      <c r="Q56" s="53"/>
      <c r="R56" s="53"/>
    </row>
    <row r="57" spans="2:18">
      <c r="B57" s="53"/>
      <c r="C57" s="53"/>
      <c r="D57" s="53"/>
      <c r="E57" s="53"/>
      <c r="F57" s="53"/>
      <c r="G57" s="53"/>
      <c r="H57" s="53"/>
      <c r="I57" s="53"/>
      <c r="K57" s="53"/>
      <c r="L57" s="53"/>
      <c r="M57" s="53"/>
      <c r="N57" s="53"/>
      <c r="O57" s="53"/>
      <c r="P57" s="53"/>
      <c r="Q57" s="53"/>
      <c r="R57" s="53"/>
    </row>
    <row r="58" spans="2:18">
      <c r="B58" s="53"/>
      <c r="C58" s="53"/>
      <c r="D58" s="53"/>
      <c r="E58" s="53"/>
      <c r="F58" s="53"/>
      <c r="G58" s="53"/>
      <c r="H58" s="53"/>
      <c r="I58" s="53"/>
      <c r="K58" s="53"/>
      <c r="L58" s="53"/>
      <c r="M58" s="53"/>
      <c r="N58" s="53"/>
      <c r="O58" s="53"/>
      <c r="P58" s="53"/>
      <c r="Q58" s="53"/>
      <c r="R58" s="53"/>
    </row>
    <row r="59" spans="2:18">
      <c r="B59" s="53"/>
      <c r="C59" s="53"/>
      <c r="D59" s="53"/>
      <c r="E59" s="53"/>
      <c r="F59" s="53"/>
      <c r="G59" s="53"/>
      <c r="H59" s="53"/>
      <c r="I59" s="53"/>
      <c r="K59" s="53"/>
      <c r="L59" s="53"/>
      <c r="M59" s="53"/>
      <c r="N59" s="53"/>
      <c r="O59" s="53"/>
      <c r="P59" s="53"/>
      <c r="Q59" s="53"/>
      <c r="R59" s="53"/>
    </row>
    <row r="60" spans="2:18">
      <c r="B60" s="53"/>
      <c r="C60" s="53"/>
      <c r="D60" s="53"/>
      <c r="E60" s="53"/>
      <c r="F60" s="53"/>
      <c r="G60" s="53"/>
      <c r="H60" s="53"/>
      <c r="I60" s="53"/>
      <c r="K60" s="53"/>
      <c r="L60" s="53"/>
      <c r="M60" s="53"/>
      <c r="N60" s="53"/>
      <c r="O60" s="53"/>
      <c r="P60" s="53"/>
      <c r="Q60" s="53"/>
      <c r="R60" s="53"/>
    </row>
    <row r="61" spans="2:18">
      <c r="B61" s="53"/>
      <c r="C61" s="53"/>
      <c r="D61" s="53"/>
      <c r="E61" s="53"/>
      <c r="F61" s="53"/>
      <c r="G61" s="53"/>
      <c r="H61" s="53"/>
      <c r="I61" s="53"/>
      <c r="K61" s="53"/>
      <c r="L61" s="53"/>
      <c r="M61" s="53"/>
      <c r="N61" s="53"/>
      <c r="O61" s="53"/>
      <c r="P61" s="53"/>
      <c r="Q61" s="53"/>
      <c r="R61" s="53"/>
    </row>
    <row r="62" spans="2:18">
      <c r="B62" s="53"/>
      <c r="C62" s="53"/>
      <c r="D62" s="53"/>
      <c r="E62" s="53"/>
      <c r="F62" s="53"/>
      <c r="G62" s="53"/>
      <c r="H62" s="53"/>
      <c r="I62" s="53"/>
      <c r="K62" s="53"/>
      <c r="L62" s="53"/>
      <c r="M62" s="53"/>
      <c r="N62" s="53"/>
      <c r="O62" s="53"/>
      <c r="P62" s="53"/>
      <c r="Q62" s="53"/>
      <c r="R62" s="53"/>
    </row>
    <row r="63" spans="2:18">
      <c r="B63" s="53"/>
      <c r="C63" s="53"/>
      <c r="D63" s="53"/>
      <c r="E63" s="53"/>
      <c r="F63" s="53"/>
      <c r="G63" s="53"/>
      <c r="H63" s="53"/>
      <c r="I63" s="53"/>
      <c r="K63" s="53"/>
      <c r="L63" s="53"/>
      <c r="M63" s="53"/>
      <c r="N63" s="53"/>
      <c r="O63" s="53"/>
      <c r="P63" s="53"/>
      <c r="Q63" s="53"/>
      <c r="R63" s="53"/>
    </row>
    <row r="64" spans="2:18">
      <c r="B64" s="53"/>
      <c r="C64" s="53"/>
      <c r="D64" s="53"/>
      <c r="E64" s="53"/>
      <c r="F64" s="53"/>
      <c r="G64" s="53"/>
      <c r="H64" s="53"/>
      <c r="I64" s="53"/>
      <c r="K64" s="53"/>
      <c r="L64" s="53"/>
      <c r="M64" s="53"/>
      <c r="N64" s="53"/>
      <c r="O64" s="53"/>
      <c r="P64" s="53"/>
      <c r="Q64" s="53"/>
      <c r="R64" s="53"/>
    </row>
    <row r="65" spans="2:18">
      <c r="B65" s="53"/>
      <c r="C65" s="53"/>
      <c r="D65" s="53"/>
      <c r="E65" s="53"/>
      <c r="F65" s="53"/>
      <c r="G65" s="53"/>
      <c r="H65" s="53"/>
      <c r="I65" s="53"/>
      <c r="K65" s="53"/>
      <c r="L65" s="53"/>
      <c r="M65" s="53"/>
      <c r="N65" s="53"/>
      <c r="O65" s="53"/>
      <c r="P65" s="53"/>
      <c r="Q65" s="53"/>
      <c r="R65" s="53"/>
    </row>
    <row r="66" spans="2:18">
      <c r="B66" s="53"/>
      <c r="C66" s="53"/>
      <c r="D66" s="53"/>
      <c r="E66" s="53"/>
      <c r="F66" s="53"/>
      <c r="G66" s="53"/>
      <c r="H66" s="53"/>
      <c r="I66" s="53"/>
      <c r="K66" s="53"/>
      <c r="L66" s="53"/>
      <c r="M66" s="53"/>
      <c r="N66" s="53"/>
      <c r="O66" s="53"/>
      <c r="P66" s="53"/>
      <c r="Q66" s="53"/>
      <c r="R66" s="53"/>
    </row>
    <row r="67" spans="2:18">
      <c r="B67" s="53"/>
      <c r="C67" s="53"/>
      <c r="D67" s="53"/>
      <c r="E67" s="53"/>
      <c r="F67" s="53"/>
      <c r="G67" s="53"/>
      <c r="H67" s="53"/>
      <c r="I67" s="53"/>
      <c r="K67" s="53"/>
      <c r="L67" s="53"/>
      <c r="M67" s="53"/>
      <c r="N67" s="53"/>
      <c r="O67" s="53"/>
      <c r="P67" s="53"/>
      <c r="Q67" s="53"/>
      <c r="R67" s="53"/>
    </row>
    <row r="68" spans="2:18">
      <c r="B68" s="53"/>
      <c r="C68" s="53"/>
      <c r="D68" s="53"/>
      <c r="E68" s="53"/>
      <c r="F68" s="53"/>
      <c r="G68" s="53"/>
      <c r="H68" s="53"/>
      <c r="I68" s="53"/>
      <c r="K68" s="53"/>
      <c r="L68" s="53"/>
      <c r="M68" s="53"/>
      <c r="N68" s="53"/>
      <c r="O68" s="53"/>
      <c r="P68" s="53"/>
      <c r="Q68" s="53"/>
      <c r="R68" s="53"/>
    </row>
    <row r="69" spans="2:18">
      <c r="B69" s="53"/>
      <c r="C69" s="53"/>
      <c r="D69" s="53"/>
      <c r="E69" s="53"/>
      <c r="F69" s="53"/>
      <c r="G69" s="53"/>
      <c r="H69" s="53"/>
      <c r="I69" s="53"/>
      <c r="K69" s="53"/>
      <c r="L69" s="53"/>
      <c r="M69" s="53"/>
      <c r="N69" s="53"/>
      <c r="O69" s="53"/>
      <c r="P69" s="53"/>
      <c r="Q69" s="53"/>
      <c r="R69" s="53"/>
    </row>
    <row r="70" spans="2:18">
      <c r="B70" s="53"/>
      <c r="C70" s="53"/>
      <c r="D70" s="53"/>
      <c r="E70" s="53"/>
      <c r="F70" s="53"/>
      <c r="G70" s="53"/>
      <c r="H70" s="53"/>
      <c r="I70" s="53"/>
      <c r="K70" s="53"/>
      <c r="L70" s="53"/>
      <c r="M70" s="53"/>
      <c r="N70" s="53"/>
      <c r="O70" s="53"/>
      <c r="P70" s="53"/>
      <c r="Q70" s="53"/>
      <c r="R70" s="53"/>
    </row>
    <row r="71" spans="2:18">
      <c r="B71" s="53"/>
      <c r="C71" s="53"/>
      <c r="D71" s="53"/>
      <c r="E71" s="53"/>
      <c r="F71" s="53"/>
      <c r="G71" s="53"/>
      <c r="H71" s="53"/>
      <c r="I71" s="53"/>
      <c r="K71" s="53"/>
      <c r="L71" s="53"/>
      <c r="M71" s="53"/>
      <c r="N71" s="53"/>
      <c r="O71" s="53"/>
      <c r="P71" s="53"/>
      <c r="Q71" s="53"/>
      <c r="R71" s="53"/>
    </row>
    <row r="72" spans="2:18">
      <c r="B72" s="53"/>
      <c r="C72" s="53"/>
      <c r="D72" s="53"/>
      <c r="E72" s="53"/>
      <c r="F72" s="53"/>
      <c r="G72" s="53"/>
      <c r="H72" s="53"/>
      <c r="I72" s="53"/>
      <c r="K72" s="53"/>
      <c r="L72" s="53"/>
      <c r="M72" s="53"/>
      <c r="N72" s="53"/>
      <c r="O72" s="53"/>
      <c r="P72" s="53"/>
      <c r="Q72" s="53"/>
      <c r="R72" s="53"/>
    </row>
    <row r="73" spans="2:18">
      <c r="B73" s="53"/>
      <c r="C73" s="53"/>
      <c r="D73" s="53"/>
      <c r="E73" s="53"/>
      <c r="F73" s="53"/>
      <c r="G73" s="53"/>
      <c r="H73" s="53"/>
      <c r="I73" s="53"/>
      <c r="K73" s="53"/>
      <c r="L73" s="53"/>
      <c r="M73" s="53"/>
      <c r="N73" s="53"/>
      <c r="O73" s="53"/>
      <c r="P73" s="53"/>
      <c r="Q73" s="53"/>
      <c r="R73" s="53"/>
    </row>
    <row r="74" spans="2:18">
      <c r="B74" s="53"/>
      <c r="C74" s="53"/>
      <c r="D74" s="53"/>
      <c r="E74" s="53"/>
      <c r="F74" s="53"/>
      <c r="G74" s="53"/>
      <c r="H74" s="53"/>
      <c r="I74" s="53"/>
      <c r="K74" s="53"/>
      <c r="L74" s="53"/>
      <c r="M74" s="53"/>
      <c r="N74" s="53"/>
      <c r="O74" s="53"/>
      <c r="P74" s="53"/>
      <c r="Q74" s="53"/>
      <c r="R74" s="53"/>
    </row>
    <row r="75" spans="2:18">
      <c r="B75" s="53"/>
      <c r="C75" s="53"/>
      <c r="D75" s="53"/>
      <c r="E75" s="53"/>
      <c r="F75" s="53"/>
      <c r="G75" s="53"/>
      <c r="H75" s="53"/>
      <c r="I75" s="53"/>
      <c r="K75" s="53"/>
      <c r="L75" s="53"/>
      <c r="M75" s="53"/>
      <c r="N75" s="53"/>
      <c r="O75" s="53"/>
      <c r="P75" s="53"/>
      <c r="Q75" s="53"/>
      <c r="R75" s="53"/>
    </row>
    <row r="76" spans="2:18">
      <c r="B76" s="53"/>
      <c r="C76" s="53"/>
      <c r="D76" s="53"/>
      <c r="E76" s="53"/>
      <c r="F76" s="53"/>
      <c r="G76" s="53"/>
      <c r="H76" s="53"/>
      <c r="I76" s="53"/>
      <c r="K76" s="53"/>
      <c r="L76" s="53"/>
      <c r="M76" s="53"/>
      <c r="N76" s="53"/>
      <c r="O76" s="53"/>
      <c r="P76" s="53"/>
      <c r="Q76" s="53"/>
      <c r="R76" s="53"/>
    </row>
    <row r="77" spans="2:18" ht="12.75" customHeight="1"/>
    <row r="78" spans="2:18" ht="12.75" customHeight="1"/>
    <row r="79" spans="2:18">
      <c r="B79" s="53"/>
      <c r="C79" s="53"/>
      <c r="D79" s="53"/>
      <c r="E79" s="53"/>
      <c r="F79" s="53"/>
      <c r="G79" s="53"/>
      <c r="H79" s="53"/>
      <c r="I79" s="53"/>
      <c r="K79" s="53"/>
      <c r="L79" s="53"/>
      <c r="M79" s="53"/>
      <c r="N79" s="53"/>
      <c r="O79" s="53"/>
      <c r="P79" s="53"/>
      <c r="Q79" s="53"/>
      <c r="R79" s="53"/>
    </row>
    <row r="80" spans="2:18">
      <c r="B80" s="53"/>
      <c r="C80" s="53"/>
      <c r="D80" s="53"/>
      <c r="E80" s="53"/>
      <c r="F80" s="53"/>
      <c r="G80" s="53"/>
      <c r="H80" s="53"/>
      <c r="I80" s="53"/>
      <c r="K80" s="53"/>
      <c r="L80" s="53"/>
      <c r="M80" s="53"/>
      <c r="N80" s="53"/>
      <c r="O80" s="53"/>
      <c r="P80" s="53"/>
      <c r="Q80" s="53"/>
      <c r="R80" s="53"/>
    </row>
    <row r="81" spans="2:18">
      <c r="B81" s="53"/>
      <c r="C81" s="53"/>
      <c r="D81" s="53"/>
      <c r="E81" s="53"/>
      <c r="F81" s="53"/>
      <c r="G81" s="53"/>
      <c r="H81" s="53"/>
      <c r="I81" s="53"/>
      <c r="K81" s="53"/>
      <c r="L81" s="53"/>
      <c r="M81" s="53"/>
      <c r="N81" s="53"/>
      <c r="O81" s="53"/>
      <c r="P81" s="53"/>
      <c r="Q81" s="53"/>
      <c r="R81" s="53"/>
    </row>
    <row r="82" spans="2:18">
      <c r="B82" s="53"/>
      <c r="C82" s="53"/>
      <c r="D82" s="53"/>
      <c r="E82" s="53"/>
      <c r="F82" s="53"/>
      <c r="G82" s="53"/>
      <c r="H82" s="53"/>
      <c r="I82" s="53"/>
      <c r="K82" s="53"/>
      <c r="L82" s="53"/>
      <c r="M82" s="53"/>
      <c r="N82" s="53"/>
      <c r="O82" s="53"/>
      <c r="P82" s="53"/>
      <c r="Q82" s="53"/>
      <c r="R82" s="53"/>
    </row>
    <row r="83" spans="2:18">
      <c r="B83" s="53"/>
      <c r="C83" s="53"/>
      <c r="D83" s="53"/>
      <c r="E83" s="53"/>
      <c r="F83" s="53"/>
      <c r="G83" s="53"/>
      <c r="H83" s="53"/>
      <c r="I83" s="53"/>
      <c r="K83" s="53"/>
      <c r="L83" s="53"/>
      <c r="M83" s="53"/>
      <c r="N83" s="53"/>
      <c r="O83" s="53"/>
      <c r="P83" s="53"/>
      <c r="Q83" s="53"/>
      <c r="R83" s="53"/>
    </row>
    <row r="84" spans="2:18">
      <c r="B84" s="53"/>
      <c r="C84" s="53"/>
      <c r="D84" s="53"/>
      <c r="E84" s="53"/>
      <c r="F84" s="53"/>
      <c r="G84" s="53"/>
      <c r="H84" s="53"/>
      <c r="I84" s="53"/>
      <c r="K84" s="53"/>
      <c r="L84" s="53"/>
      <c r="M84" s="53"/>
      <c r="N84" s="53"/>
      <c r="O84" s="53"/>
      <c r="P84" s="53"/>
      <c r="Q84" s="53"/>
      <c r="R84" s="53"/>
    </row>
    <row r="85" spans="2:18">
      <c r="B85" s="53"/>
      <c r="C85" s="53"/>
      <c r="D85" s="53"/>
      <c r="E85" s="53"/>
      <c r="F85" s="53"/>
      <c r="G85" s="53"/>
      <c r="H85" s="53"/>
      <c r="I85" s="53"/>
      <c r="K85" s="53"/>
      <c r="L85" s="53"/>
      <c r="M85" s="53"/>
      <c r="N85" s="53"/>
      <c r="O85" s="53"/>
      <c r="P85" s="53"/>
      <c r="Q85" s="53"/>
      <c r="R85" s="53"/>
    </row>
    <row r="86" spans="2:18">
      <c r="B86" s="53"/>
      <c r="C86" s="53"/>
      <c r="D86" s="53"/>
      <c r="E86" s="53"/>
      <c r="F86" s="53"/>
      <c r="G86" s="53"/>
      <c r="H86" s="53"/>
      <c r="I86" s="53"/>
      <c r="K86" s="53"/>
      <c r="L86" s="53"/>
      <c r="M86" s="53"/>
      <c r="N86" s="53"/>
      <c r="O86" s="53"/>
      <c r="P86" s="53"/>
      <c r="Q86" s="53"/>
      <c r="R86" s="53"/>
    </row>
    <row r="87" spans="2:18">
      <c r="B87" s="53"/>
      <c r="C87" s="53"/>
      <c r="D87" s="53"/>
      <c r="E87" s="53"/>
      <c r="F87" s="53"/>
      <c r="G87" s="53"/>
      <c r="H87" s="53"/>
      <c r="I87" s="53"/>
      <c r="K87" s="53"/>
      <c r="L87" s="53"/>
      <c r="M87" s="53"/>
      <c r="N87" s="53"/>
      <c r="O87" s="53"/>
      <c r="P87" s="53"/>
      <c r="Q87" s="53"/>
      <c r="R87" s="53"/>
    </row>
    <row r="88" spans="2:18">
      <c r="B88" s="53"/>
      <c r="C88" s="53"/>
      <c r="D88" s="53"/>
      <c r="E88" s="53"/>
      <c r="F88" s="53"/>
      <c r="G88" s="53"/>
      <c r="H88" s="53"/>
      <c r="I88" s="53"/>
      <c r="K88" s="53"/>
      <c r="L88" s="53"/>
      <c r="M88" s="53"/>
      <c r="N88" s="53"/>
      <c r="O88" s="53"/>
      <c r="P88" s="53"/>
      <c r="Q88" s="53"/>
      <c r="R88" s="53"/>
    </row>
    <row r="89" spans="2:18">
      <c r="B89" s="53"/>
      <c r="C89" s="53"/>
      <c r="D89" s="53"/>
      <c r="E89" s="53"/>
      <c r="F89" s="53"/>
      <c r="G89" s="53"/>
      <c r="H89" s="53"/>
      <c r="I89" s="53"/>
      <c r="K89" s="53"/>
      <c r="L89" s="53"/>
      <c r="M89" s="53"/>
      <c r="N89" s="53"/>
      <c r="O89" s="53"/>
      <c r="P89" s="53"/>
      <c r="Q89" s="53"/>
      <c r="R89" s="53"/>
    </row>
    <row r="90" spans="2:18">
      <c r="B90" s="53"/>
      <c r="C90" s="53"/>
      <c r="D90" s="53"/>
      <c r="E90" s="53"/>
      <c r="F90" s="53"/>
      <c r="G90" s="53"/>
      <c r="H90" s="53"/>
      <c r="I90" s="53"/>
      <c r="K90" s="53"/>
      <c r="L90" s="53"/>
      <c r="M90" s="53"/>
      <c r="N90" s="53"/>
      <c r="O90" s="53"/>
      <c r="P90" s="53"/>
      <c r="Q90" s="53"/>
      <c r="R90" s="53"/>
    </row>
    <row r="91" spans="2:18">
      <c r="B91" s="53"/>
      <c r="C91" s="53"/>
      <c r="D91" s="53"/>
      <c r="E91" s="53"/>
      <c r="F91" s="53"/>
      <c r="G91" s="53"/>
      <c r="H91" s="53"/>
      <c r="I91" s="53"/>
      <c r="K91" s="53"/>
      <c r="L91" s="53"/>
      <c r="M91" s="53"/>
      <c r="N91" s="53"/>
      <c r="O91" s="53"/>
      <c r="P91" s="53"/>
      <c r="Q91" s="53"/>
      <c r="R91" s="53"/>
    </row>
    <row r="92" spans="2:18">
      <c r="B92" s="53"/>
      <c r="C92" s="53"/>
      <c r="D92" s="53"/>
      <c r="E92" s="53"/>
      <c r="F92" s="53"/>
      <c r="G92" s="53"/>
      <c r="H92" s="53"/>
      <c r="I92" s="53"/>
      <c r="K92" s="53"/>
      <c r="L92" s="53"/>
      <c r="M92" s="53"/>
      <c r="N92" s="53"/>
      <c r="O92" s="53"/>
      <c r="P92" s="53"/>
      <c r="Q92" s="53"/>
      <c r="R92" s="53"/>
    </row>
    <row r="93" spans="2:18">
      <c r="B93" s="53"/>
      <c r="C93" s="53"/>
      <c r="D93" s="53"/>
      <c r="E93" s="53"/>
      <c r="F93" s="53"/>
      <c r="G93" s="53"/>
      <c r="H93" s="53"/>
      <c r="I93" s="53"/>
      <c r="K93" s="53"/>
      <c r="L93" s="53"/>
      <c r="M93" s="53"/>
      <c r="N93" s="53"/>
      <c r="O93" s="53"/>
      <c r="P93" s="53"/>
      <c r="Q93" s="53"/>
      <c r="R93" s="53"/>
    </row>
    <row r="94" spans="2:18">
      <c r="B94" s="53"/>
      <c r="C94" s="53"/>
      <c r="D94" s="53"/>
      <c r="E94" s="53"/>
      <c r="F94" s="53"/>
      <c r="G94" s="53"/>
      <c r="H94" s="53"/>
      <c r="I94" s="53"/>
      <c r="K94" s="53"/>
      <c r="L94" s="53"/>
      <c r="M94" s="53"/>
      <c r="N94" s="53"/>
      <c r="O94" s="53"/>
      <c r="P94" s="53"/>
      <c r="Q94" s="53"/>
      <c r="R94" s="53"/>
    </row>
    <row r="95" spans="2:18">
      <c r="B95" s="53"/>
      <c r="C95" s="53"/>
      <c r="D95" s="53"/>
      <c r="E95" s="53"/>
      <c r="F95" s="53"/>
      <c r="G95" s="53"/>
      <c r="H95" s="53"/>
      <c r="I95" s="53"/>
      <c r="K95" s="53"/>
      <c r="L95" s="53"/>
      <c r="M95" s="53"/>
      <c r="N95" s="53"/>
      <c r="O95" s="53"/>
      <c r="P95" s="53"/>
      <c r="Q95" s="53"/>
      <c r="R95" s="53"/>
    </row>
    <row r="96" spans="2:18">
      <c r="B96" s="53"/>
      <c r="C96" s="53"/>
      <c r="D96" s="53"/>
      <c r="E96" s="53"/>
      <c r="F96" s="53"/>
      <c r="G96" s="53"/>
      <c r="H96" s="53"/>
      <c r="I96" s="53"/>
      <c r="K96" s="53"/>
      <c r="L96" s="53"/>
      <c r="M96" s="53"/>
      <c r="N96" s="53"/>
      <c r="O96" s="53"/>
      <c r="P96" s="53"/>
      <c r="Q96" s="53"/>
      <c r="R96" s="53"/>
    </row>
    <row r="97" spans="2:18">
      <c r="B97" s="53"/>
      <c r="C97" s="53"/>
      <c r="D97" s="53"/>
      <c r="E97" s="53"/>
      <c r="F97" s="53"/>
      <c r="G97" s="53"/>
      <c r="H97" s="53"/>
      <c r="I97" s="53"/>
      <c r="K97" s="53"/>
      <c r="L97" s="53"/>
      <c r="M97" s="53"/>
      <c r="N97" s="53"/>
      <c r="O97" s="53"/>
      <c r="P97" s="53"/>
      <c r="Q97" s="53"/>
      <c r="R97" s="53"/>
    </row>
    <row r="98" spans="2:18">
      <c r="B98" s="53"/>
      <c r="C98" s="53"/>
      <c r="D98" s="53"/>
      <c r="E98" s="53"/>
      <c r="F98" s="53"/>
      <c r="G98" s="53"/>
      <c r="H98" s="53"/>
      <c r="I98" s="53"/>
      <c r="K98" s="53"/>
      <c r="L98" s="53"/>
      <c r="M98" s="53"/>
      <c r="N98" s="53"/>
      <c r="O98" s="53"/>
      <c r="P98" s="53"/>
      <c r="Q98" s="53"/>
      <c r="R98" s="53"/>
    </row>
    <row r="99" spans="2:18">
      <c r="B99" s="53"/>
      <c r="C99" s="53"/>
      <c r="D99" s="53"/>
      <c r="E99" s="53"/>
      <c r="F99" s="53"/>
      <c r="G99" s="53"/>
      <c r="H99" s="53"/>
      <c r="I99" s="53"/>
      <c r="K99" s="53"/>
      <c r="L99" s="53"/>
      <c r="M99" s="53"/>
      <c r="N99" s="53"/>
      <c r="O99" s="53"/>
      <c r="P99" s="53"/>
      <c r="Q99" s="53"/>
      <c r="R99" s="53"/>
    </row>
    <row r="100" spans="2:18">
      <c r="B100" s="53"/>
      <c r="C100" s="53"/>
      <c r="D100" s="53"/>
      <c r="E100" s="53"/>
      <c r="F100" s="53"/>
      <c r="G100" s="53"/>
      <c r="H100" s="53"/>
      <c r="I100" s="53"/>
      <c r="K100" s="53"/>
      <c r="L100" s="53"/>
      <c r="M100" s="53"/>
      <c r="N100" s="53"/>
      <c r="O100" s="53"/>
      <c r="P100" s="53"/>
      <c r="Q100" s="53"/>
      <c r="R100" s="53"/>
    </row>
    <row r="101" spans="2:18">
      <c r="B101" s="53"/>
      <c r="C101" s="53"/>
      <c r="D101" s="53"/>
      <c r="E101" s="53"/>
      <c r="F101" s="53"/>
      <c r="G101" s="53"/>
      <c r="H101" s="53"/>
      <c r="I101" s="53"/>
      <c r="K101" s="53"/>
      <c r="L101" s="53"/>
      <c r="M101" s="53"/>
      <c r="N101" s="53"/>
      <c r="O101" s="53"/>
      <c r="P101" s="53"/>
      <c r="Q101" s="53"/>
      <c r="R101" s="53"/>
    </row>
    <row r="102" spans="2:18"/>
    <row r="103" spans="2:18"/>
    <row r="104" spans="2:18">
      <c r="B104" s="53"/>
      <c r="C104" s="53"/>
      <c r="D104" s="53"/>
      <c r="E104" s="53"/>
      <c r="F104" s="53"/>
      <c r="G104" s="53"/>
      <c r="H104" s="53"/>
      <c r="I104" s="53"/>
      <c r="K104" s="53"/>
      <c r="L104" s="53"/>
      <c r="M104" s="53"/>
      <c r="N104" s="53"/>
      <c r="O104" s="53"/>
      <c r="P104" s="53"/>
      <c r="Q104" s="53"/>
      <c r="R104" s="53"/>
    </row>
    <row r="105" spans="2:18">
      <c r="B105" s="53"/>
      <c r="C105" s="53"/>
      <c r="D105" s="53"/>
      <c r="E105" s="53"/>
      <c r="F105" s="53"/>
      <c r="G105" s="53"/>
      <c r="H105" s="53"/>
      <c r="I105" s="53"/>
      <c r="K105" s="53"/>
      <c r="L105" s="53"/>
      <c r="M105" s="53"/>
      <c r="N105" s="53"/>
      <c r="O105" s="53"/>
      <c r="P105" s="53"/>
      <c r="Q105" s="53"/>
      <c r="R105" s="53"/>
    </row>
    <row r="106" spans="2:18">
      <c r="B106" s="53"/>
      <c r="C106" s="53"/>
      <c r="D106" s="53"/>
      <c r="E106" s="53"/>
      <c r="F106" s="53"/>
      <c r="G106" s="53"/>
      <c r="H106" s="53"/>
      <c r="I106" s="53"/>
      <c r="K106" s="53"/>
      <c r="L106" s="53"/>
      <c r="M106" s="53"/>
      <c r="N106" s="53"/>
      <c r="O106" s="53"/>
      <c r="P106" s="53"/>
      <c r="Q106" s="53"/>
      <c r="R106" s="53"/>
    </row>
    <row r="107" spans="2:18">
      <c r="B107" s="53"/>
      <c r="C107" s="53"/>
      <c r="D107" s="53"/>
      <c r="E107" s="53"/>
      <c r="F107" s="53"/>
      <c r="G107" s="53"/>
      <c r="H107" s="53"/>
      <c r="I107" s="53"/>
      <c r="K107" s="53"/>
      <c r="L107" s="53"/>
      <c r="M107" s="53"/>
      <c r="N107" s="53"/>
      <c r="O107" s="53"/>
      <c r="P107" s="53"/>
      <c r="Q107" s="53"/>
      <c r="R107" s="53"/>
    </row>
    <row r="108" spans="2:18">
      <c r="B108" s="53"/>
      <c r="C108" s="53"/>
      <c r="D108" s="53"/>
      <c r="E108" s="53"/>
      <c r="F108" s="53"/>
      <c r="G108" s="53"/>
      <c r="H108" s="53"/>
      <c r="I108" s="53"/>
      <c r="K108" s="53"/>
      <c r="L108" s="53"/>
      <c r="M108" s="53"/>
      <c r="N108" s="53"/>
      <c r="O108" s="53"/>
      <c r="P108" s="53"/>
      <c r="Q108" s="53"/>
      <c r="R108" s="53"/>
    </row>
    <row r="109" spans="2:18">
      <c r="B109" s="53"/>
      <c r="C109" s="53"/>
      <c r="D109" s="53"/>
      <c r="E109" s="53"/>
      <c r="F109" s="53"/>
      <c r="G109" s="53"/>
      <c r="H109" s="53"/>
      <c r="I109" s="53"/>
      <c r="K109" s="53"/>
      <c r="L109" s="53"/>
      <c r="M109" s="53"/>
      <c r="N109" s="53"/>
      <c r="O109" s="53"/>
      <c r="P109" s="53"/>
      <c r="Q109" s="53"/>
      <c r="R109" s="53"/>
    </row>
    <row r="110" spans="2:18">
      <c r="B110" s="53"/>
      <c r="C110" s="53"/>
      <c r="D110" s="53"/>
      <c r="E110" s="53"/>
      <c r="F110" s="53"/>
      <c r="G110" s="53"/>
      <c r="H110" s="53"/>
      <c r="I110" s="53"/>
      <c r="K110" s="53"/>
      <c r="L110" s="53"/>
      <c r="M110" s="53"/>
      <c r="N110" s="53"/>
      <c r="O110" s="53"/>
      <c r="P110" s="53"/>
      <c r="Q110" s="53"/>
      <c r="R110" s="53"/>
    </row>
    <row r="111" spans="2:18">
      <c r="B111" s="53"/>
      <c r="C111" s="53"/>
      <c r="D111" s="53"/>
      <c r="E111" s="53"/>
      <c r="F111" s="53"/>
      <c r="G111" s="53"/>
      <c r="H111" s="53"/>
      <c r="I111" s="53"/>
      <c r="K111" s="53"/>
      <c r="L111" s="53"/>
      <c r="M111" s="53"/>
      <c r="N111" s="53"/>
      <c r="O111" s="53"/>
      <c r="P111" s="53"/>
      <c r="Q111" s="53"/>
      <c r="R111" s="53"/>
    </row>
    <row r="112" spans="2:18">
      <c r="B112" s="53"/>
      <c r="C112" s="53"/>
      <c r="D112" s="53"/>
      <c r="E112" s="53"/>
      <c r="F112" s="53"/>
      <c r="G112" s="53"/>
      <c r="H112" s="53"/>
      <c r="I112" s="53"/>
      <c r="K112" s="53"/>
      <c r="L112" s="53"/>
      <c r="M112" s="53"/>
      <c r="N112" s="53"/>
      <c r="O112" s="53"/>
      <c r="P112" s="53"/>
      <c r="Q112" s="53"/>
      <c r="R112" s="53"/>
    </row>
    <row r="113" spans="2:18">
      <c r="B113" s="53"/>
      <c r="C113" s="53"/>
      <c r="D113" s="53"/>
      <c r="E113" s="53"/>
      <c r="F113" s="53"/>
      <c r="G113" s="53"/>
      <c r="H113" s="53"/>
      <c r="I113" s="53"/>
      <c r="K113" s="53"/>
      <c r="L113" s="53"/>
      <c r="M113" s="53"/>
      <c r="N113" s="53"/>
      <c r="O113" s="53"/>
      <c r="P113" s="53"/>
      <c r="Q113" s="53"/>
      <c r="R113" s="53"/>
    </row>
    <row r="114" spans="2:18">
      <c r="B114" s="53"/>
      <c r="C114" s="53"/>
      <c r="D114" s="53"/>
      <c r="E114" s="53"/>
      <c r="F114" s="53"/>
      <c r="G114" s="53"/>
      <c r="H114" s="53"/>
      <c r="I114" s="53"/>
      <c r="K114" s="53"/>
      <c r="L114" s="53"/>
      <c r="M114" s="53"/>
      <c r="N114" s="53"/>
      <c r="O114" s="53"/>
      <c r="P114" s="53"/>
      <c r="Q114" s="53"/>
      <c r="R114" s="53"/>
    </row>
    <row r="115" spans="2:18">
      <c r="B115" s="53"/>
      <c r="C115" s="53"/>
      <c r="D115" s="53"/>
      <c r="E115" s="53"/>
      <c r="F115" s="53"/>
      <c r="G115" s="53"/>
      <c r="H115" s="53"/>
      <c r="I115" s="53"/>
      <c r="K115" s="53"/>
      <c r="L115" s="53"/>
      <c r="M115" s="53"/>
      <c r="N115" s="53"/>
      <c r="O115" s="53"/>
      <c r="P115" s="53"/>
      <c r="Q115" s="53"/>
      <c r="R115" s="53"/>
    </row>
    <row r="116" spans="2:18">
      <c r="B116" s="53"/>
      <c r="C116" s="53"/>
      <c r="D116" s="53"/>
      <c r="E116" s="53"/>
      <c r="F116" s="53"/>
      <c r="G116" s="53"/>
      <c r="H116" s="53"/>
      <c r="I116" s="53"/>
      <c r="K116" s="53"/>
      <c r="L116" s="53"/>
      <c r="M116" s="53"/>
      <c r="N116" s="53"/>
      <c r="O116" s="53"/>
      <c r="P116" s="53"/>
      <c r="Q116" s="53"/>
      <c r="R116" s="53"/>
    </row>
    <row r="117" spans="2:18">
      <c r="B117" s="53"/>
      <c r="C117" s="53"/>
      <c r="D117" s="53"/>
      <c r="E117" s="53"/>
      <c r="F117" s="53"/>
      <c r="G117" s="53"/>
      <c r="H117" s="53"/>
      <c r="I117" s="53"/>
      <c r="K117" s="53"/>
      <c r="L117" s="53"/>
      <c r="M117" s="53"/>
      <c r="N117" s="53"/>
      <c r="O117" s="53"/>
      <c r="P117" s="53"/>
      <c r="Q117" s="53"/>
      <c r="R117" s="53"/>
    </row>
    <row r="118" spans="2:18">
      <c r="B118" s="53"/>
      <c r="C118" s="53"/>
      <c r="D118" s="53"/>
      <c r="E118" s="53"/>
      <c r="F118" s="53"/>
      <c r="G118" s="53"/>
      <c r="H118" s="53"/>
      <c r="I118" s="53"/>
      <c r="K118" s="53"/>
      <c r="L118" s="53"/>
      <c r="M118" s="53"/>
      <c r="N118" s="53"/>
      <c r="O118" s="53"/>
      <c r="P118" s="53"/>
      <c r="Q118" s="53"/>
      <c r="R118" s="53"/>
    </row>
    <row r="119" spans="2:18">
      <c r="B119" s="53"/>
      <c r="C119" s="53"/>
      <c r="D119" s="53"/>
      <c r="E119" s="53"/>
      <c r="F119" s="53"/>
      <c r="G119" s="53"/>
      <c r="H119" s="53"/>
      <c r="I119" s="53"/>
      <c r="K119" s="53"/>
      <c r="L119" s="53"/>
      <c r="M119" s="53"/>
      <c r="N119" s="53"/>
      <c r="O119" s="53"/>
      <c r="P119" s="53"/>
      <c r="Q119" s="53"/>
      <c r="R119" s="53"/>
    </row>
    <row r="120" spans="2:18">
      <c r="B120" s="53"/>
      <c r="C120" s="53"/>
      <c r="D120" s="53"/>
      <c r="E120" s="53"/>
      <c r="F120" s="53"/>
      <c r="G120" s="53"/>
      <c r="H120" s="53"/>
      <c r="I120" s="53"/>
      <c r="K120" s="53"/>
      <c r="L120" s="53"/>
      <c r="M120" s="53"/>
      <c r="N120" s="53"/>
      <c r="O120" s="53"/>
      <c r="P120" s="53"/>
      <c r="Q120" s="53"/>
      <c r="R120" s="53"/>
    </row>
    <row r="121" spans="2:18">
      <c r="B121" s="53"/>
      <c r="C121" s="53"/>
      <c r="D121" s="53"/>
      <c r="E121" s="53"/>
      <c r="F121" s="53"/>
      <c r="G121" s="53"/>
      <c r="H121" s="53"/>
      <c r="I121" s="53"/>
      <c r="K121" s="53"/>
      <c r="L121" s="53"/>
      <c r="M121" s="53"/>
      <c r="N121" s="53"/>
      <c r="O121" s="53"/>
      <c r="P121" s="53"/>
      <c r="Q121" s="53"/>
      <c r="R121" s="53"/>
    </row>
    <row r="122" spans="2:18">
      <c r="B122" s="53"/>
      <c r="C122" s="53"/>
      <c r="D122" s="53"/>
      <c r="E122" s="53"/>
      <c r="F122" s="53"/>
      <c r="G122" s="53"/>
      <c r="H122" s="53"/>
      <c r="I122" s="53"/>
      <c r="K122" s="53"/>
      <c r="L122" s="53"/>
      <c r="M122" s="53"/>
      <c r="N122" s="53"/>
      <c r="O122" s="53"/>
      <c r="P122" s="53"/>
      <c r="Q122" s="53"/>
      <c r="R122" s="53"/>
    </row>
    <row r="123" spans="2:18">
      <c r="B123" s="53"/>
      <c r="C123" s="53"/>
      <c r="D123" s="53"/>
      <c r="E123" s="53"/>
      <c r="F123" s="53"/>
      <c r="G123" s="53"/>
      <c r="H123" s="53"/>
      <c r="I123" s="53"/>
      <c r="K123" s="53"/>
      <c r="L123" s="53"/>
      <c r="M123" s="53"/>
      <c r="N123" s="53"/>
      <c r="O123" s="53"/>
      <c r="P123" s="53"/>
      <c r="Q123" s="53"/>
      <c r="R123" s="53"/>
    </row>
    <row r="124" spans="2:18">
      <c r="B124" s="53"/>
      <c r="C124" s="53"/>
      <c r="D124" s="53"/>
      <c r="E124" s="53"/>
      <c r="F124" s="53"/>
      <c r="G124" s="53"/>
      <c r="H124" s="53"/>
      <c r="I124" s="53"/>
      <c r="K124" s="53"/>
      <c r="L124" s="53"/>
      <c r="M124" s="53"/>
      <c r="N124" s="53"/>
      <c r="O124" s="53"/>
      <c r="P124" s="53"/>
      <c r="Q124" s="53"/>
      <c r="R124" s="53"/>
    </row>
    <row r="125" spans="2:18">
      <c r="B125" s="53"/>
      <c r="C125" s="53"/>
      <c r="D125" s="53"/>
      <c r="E125" s="53"/>
      <c r="F125" s="53"/>
      <c r="G125" s="53"/>
      <c r="H125" s="53"/>
      <c r="I125" s="53"/>
      <c r="K125" s="53"/>
      <c r="L125" s="53"/>
      <c r="M125" s="53"/>
      <c r="N125" s="53"/>
      <c r="O125" s="53"/>
      <c r="P125" s="53"/>
      <c r="Q125" s="53"/>
      <c r="R125" s="53"/>
    </row>
    <row r="126" spans="2:18"/>
    <row r="127" spans="2:18"/>
    <row r="128" spans="2:18">
      <c r="B128" s="53" t="s">
        <v>16</v>
      </c>
      <c r="C128" s="53">
        <v>72</v>
      </c>
      <c r="D128" s="53"/>
      <c r="E128" s="53"/>
      <c r="F128" s="53"/>
      <c r="G128" s="53"/>
      <c r="H128" s="53"/>
      <c r="I128" s="53"/>
      <c r="K128" s="53"/>
      <c r="L128" s="53"/>
      <c r="M128" s="53"/>
      <c r="N128" s="53"/>
      <c r="O128" s="53"/>
      <c r="P128" s="53"/>
      <c r="Q128" s="53"/>
      <c r="R128" s="53"/>
    </row>
    <row r="129" spans="2:18">
      <c r="B129" s="53" t="s">
        <v>41</v>
      </c>
      <c r="C129" s="53">
        <v>520</v>
      </c>
      <c r="D129" s="53"/>
      <c r="E129" s="53"/>
      <c r="F129" s="53"/>
      <c r="G129" s="53"/>
      <c r="H129" s="53"/>
      <c r="I129" s="53"/>
      <c r="K129" s="53" t="s">
        <v>48</v>
      </c>
      <c r="L129" s="53">
        <v>186</v>
      </c>
      <c r="M129" s="53"/>
      <c r="N129" s="53"/>
      <c r="O129" s="53"/>
      <c r="P129" s="53"/>
      <c r="Q129" s="53"/>
      <c r="R129" s="53"/>
    </row>
    <row r="130" spans="2:18">
      <c r="B130" s="53" t="s">
        <v>40</v>
      </c>
      <c r="C130" s="53">
        <v>1058</v>
      </c>
      <c r="D130" s="53"/>
      <c r="E130" s="53"/>
      <c r="F130" s="53"/>
      <c r="G130" s="53"/>
      <c r="H130" s="53"/>
      <c r="I130" s="53"/>
      <c r="K130" s="53" t="s">
        <v>46</v>
      </c>
      <c r="L130" s="53">
        <v>295</v>
      </c>
      <c r="M130" s="53"/>
      <c r="N130" s="53"/>
      <c r="O130" s="53"/>
      <c r="P130" s="53"/>
      <c r="Q130" s="53"/>
      <c r="R130" s="53"/>
    </row>
    <row r="131" spans="2:18">
      <c r="B131" s="53" t="s">
        <v>19</v>
      </c>
      <c r="C131" s="53">
        <v>33</v>
      </c>
      <c r="D131" s="53"/>
      <c r="E131" s="53"/>
      <c r="F131" s="53"/>
      <c r="G131" s="53"/>
      <c r="H131" s="53"/>
      <c r="I131" s="53"/>
      <c r="K131" s="53" t="s">
        <v>49</v>
      </c>
      <c r="L131" s="53">
        <v>150</v>
      </c>
      <c r="M131" s="53"/>
      <c r="N131" s="53"/>
      <c r="O131" s="53"/>
      <c r="P131" s="53"/>
      <c r="Q131" s="53"/>
      <c r="R131" s="53"/>
    </row>
    <row r="132" spans="2:18">
      <c r="B132" s="53" t="s">
        <v>21</v>
      </c>
      <c r="C132" s="53">
        <v>101</v>
      </c>
      <c r="D132" s="53"/>
      <c r="E132" s="53"/>
      <c r="F132" s="53"/>
      <c r="G132" s="53"/>
      <c r="H132" s="53"/>
      <c r="I132" s="53"/>
      <c r="K132" s="53" t="s">
        <v>53</v>
      </c>
      <c r="L132" s="53">
        <v>15</v>
      </c>
      <c r="M132" s="53"/>
      <c r="N132" s="53"/>
      <c r="O132" s="53"/>
      <c r="P132" s="53"/>
      <c r="Q132" s="53"/>
      <c r="R132" s="53"/>
    </row>
    <row r="133" spans="2:18">
      <c r="B133" s="53" t="s">
        <v>20</v>
      </c>
      <c r="C133" s="53">
        <v>915</v>
      </c>
      <c r="D133" s="53"/>
      <c r="E133" s="53"/>
      <c r="F133" s="53"/>
      <c r="G133" s="53"/>
      <c r="H133" s="53"/>
      <c r="I133" s="53"/>
      <c r="K133" s="53" t="s">
        <v>52</v>
      </c>
      <c r="L133" s="53">
        <v>191</v>
      </c>
      <c r="M133" s="53"/>
      <c r="N133" s="53"/>
      <c r="O133" s="53"/>
      <c r="P133" s="53"/>
      <c r="Q133" s="53"/>
      <c r="R133" s="53"/>
    </row>
    <row r="134" spans="2:18">
      <c r="B134" s="53" t="s">
        <v>29</v>
      </c>
      <c r="C134" s="53">
        <v>24</v>
      </c>
      <c r="D134" s="53"/>
      <c r="E134" s="53"/>
      <c r="F134" s="53"/>
      <c r="G134" s="53"/>
      <c r="H134" s="53"/>
      <c r="I134" s="53"/>
      <c r="K134" s="53" t="s">
        <v>54</v>
      </c>
      <c r="L134" s="53">
        <v>313</v>
      </c>
      <c r="M134" s="53"/>
      <c r="N134" s="53"/>
      <c r="O134" s="53"/>
      <c r="P134" s="53"/>
      <c r="Q134" s="53"/>
      <c r="R134" s="53"/>
    </row>
    <row r="135" spans="2:18">
      <c r="B135" s="53" t="s">
        <v>11</v>
      </c>
      <c r="C135" s="53">
        <v>17</v>
      </c>
      <c r="D135" s="53"/>
      <c r="E135" s="53"/>
      <c r="F135" s="53"/>
      <c r="G135" s="53"/>
      <c r="H135" s="53"/>
      <c r="I135" s="53"/>
      <c r="K135" s="53" t="s">
        <v>47</v>
      </c>
      <c r="L135" s="53">
        <v>332</v>
      </c>
      <c r="M135" s="53"/>
      <c r="N135" s="53"/>
      <c r="O135" s="53"/>
      <c r="P135" s="53"/>
      <c r="Q135" s="53"/>
      <c r="R135" s="53"/>
    </row>
    <row r="136" spans="2:18">
      <c r="B136" s="53" t="s">
        <v>13</v>
      </c>
      <c r="C136" s="53">
        <v>89</v>
      </c>
      <c r="D136" s="53"/>
      <c r="E136" s="53"/>
      <c r="F136" s="53"/>
      <c r="G136" s="53"/>
      <c r="H136" s="53"/>
      <c r="I136" s="53"/>
      <c r="K136" s="53" t="s">
        <v>50</v>
      </c>
      <c r="L136" s="53">
        <v>64</v>
      </c>
      <c r="M136" s="53"/>
      <c r="N136" s="53"/>
      <c r="O136" s="53"/>
      <c r="P136" s="53"/>
      <c r="Q136" s="53"/>
      <c r="R136" s="53"/>
    </row>
    <row r="137" spans="2:18">
      <c r="B137" s="53" t="s">
        <v>10</v>
      </c>
      <c r="C137" s="53">
        <v>37</v>
      </c>
      <c r="D137" s="53"/>
      <c r="E137" s="53"/>
      <c r="F137" s="53"/>
      <c r="G137" s="53"/>
      <c r="H137" s="53"/>
      <c r="I137" s="53"/>
      <c r="K137" s="53" t="s">
        <v>51</v>
      </c>
      <c r="L137" s="53">
        <v>207</v>
      </c>
      <c r="M137" s="53"/>
      <c r="N137" s="53"/>
      <c r="O137" s="53"/>
      <c r="P137" s="53"/>
      <c r="Q137" s="53"/>
      <c r="R137" s="53"/>
    </row>
    <row r="138" spans="2:18">
      <c r="B138" s="53" t="s">
        <v>30</v>
      </c>
      <c r="C138" s="53">
        <v>25</v>
      </c>
      <c r="D138" s="53"/>
      <c r="E138" s="53"/>
      <c r="F138" s="53"/>
      <c r="G138" s="53"/>
      <c r="H138" s="53"/>
      <c r="I138" s="53"/>
      <c r="K138" s="53"/>
      <c r="L138" s="53"/>
      <c r="M138" s="53"/>
      <c r="N138" s="53"/>
      <c r="O138" s="53"/>
      <c r="P138" s="53"/>
      <c r="Q138" s="53"/>
      <c r="R138" s="53"/>
    </row>
    <row r="139" spans="2:18">
      <c r="B139" s="53" t="s">
        <v>18</v>
      </c>
      <c r="C139" s="53">
        <v>36</v>
      </c>
      <c r="D139" s="53"/>
      <c r="E139" s="53"/>
      <c r="F139" s="53"/>
      <c r="G139" s="53"/>
      <c r="H139" s="53"/>
      <c r="I139" s="53"/>
      <c r="K139" s="53"/>
      <c r="L139" s="53"/>
      <c r="M139" s="53"/>
      <c r="N139" s="53"/>
      <c r="O139" s="53"/>
      <c r="P139" s="53"/>
      <c r="Q139" s="53"/>
      <c r="R139" s="53"/>
    </row>
    <row r="140" spans="2:18">
      <c r="B140" s="53" t="s">
        <v>25</v>
      </c>
      <c r="C140" s="53"/>
      <c r="D140" s="53"/>
      <c r="E140" s="53"/>
      <c r="F140" s="53"/>
      <c r="G140" s="53"/>
      <c r="H140" s="53"/>
      <c r="I140" s="53"/>
      <c r="K140" s="53"/>
      <c r="L140" s="53"/>
      <c r="M140" s="53"/>
      <c r="N140" s="53"/>
      <c r="O140" s="53"/>
      <c r="P140" s="53"/>
      <c r="Q140" s="53"/>
      <c r="R140" s="53"/>
    </row>
    <row r="141" spans="2:18">
      <c r="B141" s="53" t="s">
        <v>42</v>
      </c>
      <c r="C141" s="53">
        <v>206</v>
      </c>
      <c r="D141" s="53"/>
      <c r="E141" s="53"/>
      <c r="F141" s="53"/>
      <c r="G141" s="53"/>
      <c r="H141" s="53"/>
      <c r="I141" s="53"/>
      <c r="K141" s="53"/>
      <c r="L141" s="53"/>
      <c r="M141" s="53"/>
      <c r="N141" s="53"/>
      <c r="O141" s="53"/>
      <c r="P141" s="53"/>
      <c r="Q141" s="53"/>
      <c r="R141" s="53"/>
    </row>
    <row r="142" spans="2:18">
      <c r="B142" s="53" t="s">
        <v>15</v>
      </c>
      <c r="C142" s="53">
        <v>216</v>
      </c>
      <c r="D142" s="53"/>
      <c r="E142" s="53"/>
      <c r="F142" s="53"/>
      <c r="G142" s="53"/>
      <c r="H142" s="53"/>
      <c r="I142" s="53"/>
      <c r="K142" s="53"/>
      <c r="L142" s="53"/>
      <c r="M142" s="53"/>
      <c r="N142" s="53"/>
      <c r="O142" s="53"/>
      <c r="P142" s="53"/>
      <c r="Q142" s="53"/>
      <c r="R142" s="53"/>
    </row>
    <row r="143" spans="2:18">
      <c r="B143" s="53" t="s">
        <v>22</v>
      </c>
      <c r="C143" s="53">
        <v>7</v>
      </c>
      <c r="D143" s="53"/>
      <c r="E143" s="53"/>
      <c r="F143" s="53"/>
      <c r="G143" s="53"/>
      <c r="H143" s="53"/>
      <c r="I143" s="53"/>
      <c r="K143" s="53"/>
      <c r="L143" s="53"/>
      <c r="M143" s="53"/>
      <c r="N143" s="53"/>
      <c r="O143" s="53"/>
      <c r="P143" s="53"/>
      <c r="Q143" s="53"/>
      <c r="R143" s="53"/>
    </row>
    <row r="144" spans="2:18">
      <c r="B144" s="53" t="s">
        <v>12</v>
      </c>
      <c r="C144" s="53">
        <v>54</v>
      </c>
      <c r="D144" s="53"/>
      <c r="E144" s="53"/>
      <c r="F144" s="53"/>
      <c r="G144" s="53"/>
      <c r="H144" s="53"/>
      <c r="I144" s="53"/>
      <c r="K144" s="53"/>
      <c r="L144" s="53"/>
      <c r="M144" s="53"/>
      <c r="N144" s="53"/>
      <c r="O144" s="53"/>
      <c r="P144" s="53"/>
      <c r="Q144" s="53"/>
      <c r="R144" s="53"/>
    </row>
    <row r="145" spans="2:18">
      <c r="B145" s="53" t="s">
        <v>14</v>
      </c>
      <c r="C145" s="53">
        <v>32</v>
      </c>
      <c r="D145" s="53"/>
      <c r="E145" s="53"/>
      <c r="F145" s="53"/>
      <c r="G145" s="53"/>
      <c r="H145" s="53"/>
      <c r="I145" s="53"/>
      <c r="K145" s="53"/>
      <c r="L145" s="53"/>
      <c r="M145" s="53"/>
      <c r="N145" s="53"/>
      <c r="O145" s="53"/>
      <c r="P145" s="53"/>
      <c r="Q145" s="53"/>
      <c r="R145" s="53"/>
    </row>
    <row r="146" spans="2:18">
      <c r="B146" s="53"/>
      <c r="C146" s="53"/>
      <c r="D146" s="53"/>
      <c r="E146" s="53"/>
      <c r="F146" s="53"/>
      <c r="G146" s="53"/>
      <c r="H146" s="53"/>
      <c r="I146" s="53"/>
      <c r="K146" s="53"/>
      <c r="L146" s="53"/>
      <c r="M146" s="53"/>
      <c r="N146" s="53"/>
      <c r="O146" s="53"/>
      <c r="P146" s="53"/>
      <c r="Q146" s="53"/>
      <c r="R146" s="53"/>
    </row>
    <row r="147" spans="2:18">
      <c r="B147" s="53"/>
      <c r="C147" s="53"/>
      <c r="D147" s="53"/>
      <c r="E147" s="53"/>
      <c r="F147" s="53"/>
      <c r="G147" s="53"/>
      <c r="H147" s="53"/>
      <c r="I147" s="53"/>
      <c r="K147" s="53"/>
      <c r="L147" s="53"/>
      <c r="M147" s="53"/>
      <c r="N147" s="53"/>
      <c r="O147" s="53"/>
      <c r="P147" s="53"/>
      <c r="Q147" s="53"/>
      <c r="R147" s="53"/>
    </row>
    <row r="148" spans="2:18">
      <c r="B148" s="53"/>
      <c r="C148" s="53"/>
      <c r="D148" s="53"/>
      <c r="E148" s="53"/>
      <c r="F148" s="53"/>
      <c r="G148" s="53"/>
      <c r="H148" s="53"/>
      <c r="I148" s="53"/>
      <c r="K148" s="53"/>
      <c r="L148" s="53"/>
      <c r="M148" s="53"/>
      <c r="N148" s="53"/>
      <c r="O148" s="53"/>
      <c r="P148" s="53"/>
      <c r="Q148" s="53"/>
      <c r="R148" s="53"/>
    </row>
    <row r="149" spans="2:18">
      <c r="B149" s="53"/>
      <c r="C149" s="53"/>
      <c r="D149" s="53"/>
      <c r="E149" s="53"/>
      <c r="F149" s="53"/>
      <c r="G149" s="53"/>
      <c r="H149" s="53"/>
      <c r="I149" s="53"/>
      <c r="K149" s="53"/>
      <c r="L149" s="53"/>
      <c r="M149" s="53"/>
      <c r="N149" s="53"/>
      <c r="O149" s="53"/>
      <c r="P149" s="53"/>
      <c r="Q149" s="53"/>
      <c r="R149" s="53"/>
    </row>
    <row r="150" spans="2:18"/>
    <row r="151" spans="2:18"/>
    <row r="152" spans="2:18" hidden="1">
      <c r="B152" s="53"/>
      <c r="C152" s="53"/>
      <c r="D152" s="53"/>
      <c r="E152" s="53"/>
      <c r="F152" s="53"/>
      <c r="G152" s="53"/>
      <c r="H152" s="53"/>
      <c r="I152" s="53"/>
      <c r="K152" s="53"/>
      <c r="L152" s="53"/>
      <c r="M152" s="53"/>
      <c r="N152" s="53"/>
      <c r="O152" s="53"/>
      <c r="P152" s="53"/>
      <c r="Q152" s="53"/>
      <c r="R152" s="53"/>
    </row>
    <row r="153" spans="2:18" hidden="1">
      <c r="B153" s="53"/>
      <c r="C153" s="53"/>
      <c r="D153" s="53"/>
      <c r="E153" s="53"/>
      <c r="F153" s="53"/>
      <c r="G153" s="53"/>
      <c r="H153" s="53"/>
      <c r="I153" s="53"/>
      <c r="K153" s="53"/>
      <c r="L153" s="53"/>
      <c r="M153" s="53"/>
      <c r="N153" s="53"/>
      <c r="O153" s="53"/>
      <c r="P153" s="53"/>
      <c r="Q153" s="53"/>
      <c r="R153" s="53"/>
    </row>
    <row r="154" spans="2:18" hidden="1">
      <c r="B154" s="53"/>
      <c r="C154" s="53"/>
      <c r="D154" s="53"/>
      <c r="E154" s="53"/>
      <c r="F154" s="53"/>
      <c r="G154" s="53"/>
      <c r="H154" s="53"/>
      <c r="I154" s="53"/>
      <c r="K154" s="53"/>
      <c r="L154" s="53"/>
      <c r="M154" s="53"/>
      <c r="N154" s="53"/>
      <c r="O154" s="53"/>
      <c r="P154" s="53"/>
      <c r="Q154" s="53"/>
      <c r="R154" s="53"/>
    </row>
    <row r="155" spans="2:18" hidden="1">
      <c r="B155" s="53"/>
      <c r="C155" s="53"/>
      <c r="D155" s="53"/>
      <c r="E155" s="53"/>
      <c r="F155" s="53"/>
      <c r="G155" s="53"/>
      <c r="H155" s="53"/>
      <c r="I155" s="53"/>
      <c r="K155" s="53"/>
      <c r="L155" s="53"/>
      <c r="M155" s="53"/>
      <c r="N155" s="53"/>
      <c r="O155" s="53"/>
      <c r="P155" s="53"/>
      <c r="Q155" s="53"/>
      <c r="R155" s="53"/>
    </row>
    <row r="156" spans="2:18" hidden="1">
      <c r="B156" s="53"/>
      <c r="C156" s="53"/>
      <c r="D156" s="53"/>
      <c r="E156" s="53"/>
      <c r="F156" s="53"/>
      <c r="G156" s="53"/>
      <c r="H156" s="53"/>
      <c r="I156" s="53"/>
      <c r="K156" s="53"/>
      <c r="L156" s="53"/>
      <c r="M156" s="53"/>
      <c r="N156" s="53"/>
      <c r="O156" s="53"/>
      <c r="P156" s="53"/>
      <c r="Q156" s="53"/>
      <c r="R156" s="53"/>
    </row>
    <row r="157" spans="2:18" hidden="1">
      <c r="B157" s="53"/>
      <c r="C157" s="53"/>
      <c r="D157" s="53"/>
      <c r="E157" s="53"/>
      <c r="F157" s="53"/>
      <c r="G157" s="53"/>
      <c r="H157" s="53"/>
      <c r="I157" s="53"/>
      <c r="K157" s="53"/>
      <c r="L157" s="53"/>
      <c r="M157" s="53"/>
      <c r="N157" s="53"/>
      <c r="O157" s="53"/>
      <c r="P157" s="53"/>
      <c r="Q157" s="53"/>
      <c r="R157" s="53"/>
    </row>
    <row r="158" spans="2:18" hidden="1">
      <c r="B158" s="53"/>
      <c r="C158" s="53"/>
      <c r="D158" s="53"/>
      <c r="E158" s="53"/>
      <c r="F158" s="53"/>
      <c r="G158" s="53"/>
      <c r="H158" s="53"/>
      <c r="I158" s="53"/>
      <c r="K158" s="53"/>
      <c r="L158" s="53"/>
      <c r="M158" s="53"/>
      <c r="N158" s="53"/>
      <c r="O158" s="53"/>
      <c r="P158" s="53"/>
      <c r="Q158" s="53"/>
      <c r="R158" s="53"/>
    </row>
    <row r="159" spans="2:18" hidden="1">
      <c r="B159" s="53"/>
      <c r="C159" s="53"/>
      <c r="D159" s="53"/>
      <c r="E159" s="53"/>
      <c r="F159" s="53"/>
      <c r="G159" s="53"/>
      <c r="H159" s="53"/>
      <c r="I159" s="53"/>
      <c r="K159" s="53"/>
      <c r="L159" s="53"/>
      <c r="M159" s="53"/>
      <c r="N159" s="53"/>
      <c r="O159" s="53"/>
      <c r="P159" s="53"/>
      <c r="Q159" s="53"/>
      <c r="R159" s="53"/>
    </row>
    <row r="160" spans="2:18" hidden="1">
      <c r="B160" s="53"/>
      <c r="C160" s="53"/>
      <c r="D160" s="53"/>
      <c r="E160" s="53"/>
      <c r="F160" s="53"/>
      <c r="G160" s="53"/>
      <c r="H160" s="53"/>
      <c r="I160" s="53"/>
      <c r="K160" s="53"/>
      <c r="L160" s="53"/>
      <c r="M160" s="53"/>
      <c r="N160" s="53"/>
      <c r="O160" s="53"/>
      <c r="P160" s="53"/>
      <c r="Q160" s="53"/>
      <c r="R160" s="53"/>
    </row>
    <row r="161" spans="2:18" hidden="1">
      <c r="B161" s="53"/>
      <c r="C161" s="53"/>
      <c r="D161" s="53"/>
      <c r="E161" s="53"/>
      <c r="F161" s="53"/>
      <c r="G161" s="53"/>
      <c r="H161" s="53"/>
      <c r="I161" s="53"/>
      <c r="K161" s="53"/>
      <c r="L161" s="53"/>
      <c r="M161" s="53"/>
      <c r="N161" s="53"/>
      <c r="O161" s="53"/>
      <c r="P161" s="53"/>
      <c r="Q161" s="53"/>
      <c r="R161" s="53"/>
    </row>
    <row r="162" spans="2:18" hidden="1">
      <c r="B162" s="53"/>
      <c r="C162" s="53"/>
      <c r="D162" s="53"/>
      <c r="E162" s="53"/>
      <c r="F162" s="53"/>
      <c r="G162" s="53"/>
      <c r="H162" s="53"/>
      <c r="I162" s="53"/>
      <c r="K162" s="53"/>
      <c r="L162" s="53"/>
      <c r="M162" s="53"/>
      <c r="N162" s="53"/>
      <c r="O162" s="53"/>
      <c r="P162" s="53"/>
      <c r="Q162" s="53"/>
      <c r="R162" s="53"/>
    </row>
    <row r="163" spans="2:18" hidden="1">
      <c r="B163" s="53"/>
      <c r="C163" s="53"/>
      <c r="D163" s="53"/>
      <c r="E163" s="53"/>
      <c r="F163" s="53"/>
      <c r="G163" s="53"/>
      <c r="H163" s="53"/>
      <c r="I163" s="53"/>
      <c r="K163" s="53"/>
      <c r="L163" s="53"/>
      <c r="M163" s="53"/>
      <c r="N163" s="53"/>
      <c r="O163" s="53"/>
      <c r="P163" s="53"/>
      <c r="Q163" s="53"/>
      <c r="R163" s="53"/>
    </row>
    <row r="164" spans="2:18" hidden="1">
      <c r="B164" s="53"/>
      <c r="C164" s="53"/>
      <c r="D164" s="53"/>
      <c r="E164" s="53"/>
      <c r="F164" s="53"/>
      <c r="G164" s="53"/>
      <c r="H164" s="53"/>
      <c r="I164" s="53"/>
      <c r="K164" s="53"/>
      <c r="L164" s="53"/>
      <c r="M164" s="53"/>
      <c r="N164" s="53"/>
      <c r="O164" s="53"/>
      <c r="P164" s="53"/>
      <c r="Q164" s="53"/>
      <c r="R164" s="53"/>
    </row>
    <row r="165" spans="2:18" hidden="1">
      <c r="B165" s="53"/>
      <c r="C165" s="53"/>
      <c r="D165" s="53"/>
      <c r="E165" s="53"/>
      <c r="F165" s="53"/>
      <c r="G165" s="53"/>
      <c r="H165" s="53"/>
      <c r="I165" s="53"/>
      <c r="K165" s="53"/>
      <c r="L165" s="53"/>
      <c r="M165" s="53"/>
      <c r="N165" s="53"/>
      <c r="O165" s="53"/>
      <c r="P165" s="53"/>
      <c r="Q165" s="53"/>
      <c r="R165" s="53"/>
    </row>
    <row r="166" spans="2:18" hidden="1">
      <c r="B166" s="53"/>
      <c r="C166" s="53"/>
      <c r="D166" s="53"/>
      <c r="E166" s="53"/>
      <c r="F166" s="53"/>
      <c r="G166" s="53"/>
      <c r="H166" s="53"/>
      <c r="I166" s="53"/>
      <c r="K166" s="53"/>
      <c r="L166" s="53"/>
      <c r="M166" s="53"/>
      <c r="N166" s="53"/>
      <c r="O166" s="53"/>
      <c r="P166" s="53"/>
      <c r="Q166" s="53"/>
      <c r="R166" s="53"/>
    </row>
    <row r="167" spans="2:18" hidden="1">
      <c r="B167" s="53"/>
      <c r="C167" s="53"/>
      <c r="D167" s="53"/>
      <c r="E167" s="53"/>
      <c r="F167" s="53"/>
      <c r="G167" s="53"/>
      <c r="H167" s="53"/>
      <c r="I167" s="53"/>
      <c r="K167" s="53"/>
      <c r="L167" s="53"/>
      <c r="M167" s="53"/>
      <c r="N167" s="53"/>
      <c r="O167" s="53"/>
      <c r="P167" s="53"/>
      <c r="Q167" s="53"/>
      <c r="R167" s="53"/>
    </row>
    <row r="168" spans="2:18" hidden="1">
      <c r="B168" s="53"/>
      <c r="C168" s="53"/>
      <c r="D168" s="53"/>
      <c r="E168" s="53"/>
      <c r="F168" s="53"/>
      <c r="G168" s="53"/>
      <c r="H168" s="53"/>
      <c r="I168" s="53"/>
      <c r="K168" s="53"/>
      <c r="L168" s="53"/>
      <c r="M168" s="53"/>
      <c r="N168" s="53"/>
      <c r="O168" s="53"/>
      <c r="P168" s="53"/>
      <c r="Q168" s="53"/>
      <c r="R168" s="53"/>
    </row>
    <row r="169" spans="2:18" hidden="1">
      <c r="B169" s="53"/>
      <c r="C169" s="53"/>
      <c r="D169" s="53"/>
      <c r="E169" s="53"/>
      <c r="F169" s="53"/>
      <c r="G169" s="53"/>
      <c r="H169" s="53"/>
      <c r="I169" s="53"/>
      <c r="K169" s="53"/>
      <c r="L169" s="53"/>
      <c r="M169" s="53"/>
      <c r="N169" s="53"/>
      <c r="O169" s="53"/>
      <c r="P169" s="53"/>
      <c r="Q169" s="53"/>
      <c r="R169" s="53"/>
    </row>
    <row r="170" spans="2:18" hidden="1">
      <c r="B170" s="53"/>
      <c r="C170" s="53"/>
      <c r="D170" s="53"/>
      <c r="E170" s="53"/>
      <c r="F170" s="53"/>
      <c r="G170" s="53"/>
      <c r="H170" s="53"/>
      <c r="I170" s="53"/>
      <c r="K170" s="53"/>
      <c r="L170" s="53"/>
      <c r="M170" s="53"/>
      <c r="N170" s="53"/>
      <c r="O170" s="53"/>
      <c r="P170" s="53"/>
      <c r="Q170" s="53"/>
      <c r="R170" s="53"/>
    </row>
    <row r="171" spans="2:18" hidden="1">
      <c r="B171" s="53"/>
      <c r="C171" s="53"/>
      <c r="D171" s="53"/>
      <c r="E171" s="53"/>
      <c r="F171" s="53"/>
      <c r="G171" s="53"/>
      <c r="H171" s="53"/>
      <c r="I171" s="53"/>
      <c r="K171" s="53"/>
      <c r="L171" s="53"/>
      <c r="M171" s="53"/>
      <c r="N171" s="53"/>
      <c r="O171" s="53"/>
      <c r="P171" s="53"/>
      <c r="Q171" s="53"/>
      <c r="R171" s="53"/>
    </row>
    <row r="172" spans="2:18" hidden="1">
      <c r="B172" s="53"/>
      <c r="C172" s="53"/>
      <c r="D172" s="53"/>
      <c r="E172" s="53"/>
      <c r="F172" s="53"/>
      <c r="G172" s="53"/>
      <c r="H172" s="53"/>
      <c r="I172" s="53"/>
      <c r="K172" s="53"/>
      <c r="L172" s="53"/>
      <c r="M172" s="53"/>
      <c r="N172" s="53"/>
      <c r="O172" s="53"/>
      <c r="P172" s="53"/>
      <c r="Q172" s="53"/>
      <c r="R172" s="53"/>
    </row>
    <row r="173" spans="2:18" hidden="1">
      <c r="B173" s="53"/>
      <c r="C173" s="53"/>
      <c r="D173" s="53"/>
      <c r="E173" s="53"/>
      <c r="F173" s="53"/>
      <c r="G173" s="53"/>
      <c r="H173" s="53"/>
      <c r="I173" s="53"/>
      <c r="K173" s="53"/>
      <c r="L173" s="53"/>
      <c r="M173" s="53"/>
      <c r="N173" s="53"/>
      <c r="O173" s="53"/>
      <c r="P173" s="53"/>
      <c r="Q173" s="53"/>
      <c r="R173" s="5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F7BF-D9AC-46C3-A454-A2446CE56204}">
  <dimension ref="A1:D27"/>
  <sheetViews>
    <sheetView workbookViewId="0">
      <selection activeCell="E35" sqref="E35"/>
    </sheetView>
  </sheetViews>
  <sheetFormatPr baseColWidth="10" defaultRowHeight="12.75"/>
  <cols>
    <col min="2" max="2" width="25.42578125" bestFit="1" customWidth="1"/>
    <col min="3" max="3" width="20.28515625" bestFit="1" customWidth="1"/>
  </cols>
  <sheetData>
    <row r="1" spans="1:4">
      <c r="A1" s="18" t="s">
        <v>38</v>
      </c>
      <c r="B1" s="18" t="s">
        <v>39</v>
      </c>
      <c r="C1" s="18" t="s">
        <v>43</v>
      </c>
    </row>
    <row r="2" spans="1:4">
      <c r="A2">
        <v>1</v>
      </c>
      <c r="B2" t="s">
        <v>3</v>
      </c>
      <c r="C2" t="s">
        <v>40</v>
      </c>
      <c r="D2" t="s">
        <v>46</v>
      </c>
    </row>
    <row r="3" spans="1:4">
      <c r="A3">
        <v>2</v>
      </c>
      <c r="B3" t="s">
        <v>4</v>
      </c>
      <c r="C3" t="s">
        <v>40</v>
      </c>
      <c r="D3" t="s">
        <v>47</v>
      </c>
    </row>
    <row r="4" spans="1:4">
      <c r="A4">
        <v>3</v>
      </c>
      <c r="B4" t="s">
        <v>6</v>
      </c>
      <c r="C4" t="s">
        <v>40</v>
      </c>
      <c r="D4" t="s">
        <v>48</v>
      </c>
    </row>
    <row r="5" spans="1:4">
      <c r="A5">
        <v>4</v>
      </c>
      <c r="B5" t="s">
        <v>7</v>
      </c>
      <c r="C5" t="s">
        <v>40</v>
      </c>
      <c r="D5" t="s">
        <v>49</v>
      </c>
    </row>
    <row r="6" spans="1:4">
      <c r="A6">
        <v>5</v>
      </c>
      <c r="B6" t="s">
        <v>44</v>
      </c>
      <c r="C6" t="s">
        <v>40</v>
      </c>
      <c r="D6" t="s">
        <v>50</v>
      </c>
    </row>
    <row r="7" spans="1:4">
      <c r="A7">
        <v>6</v>
      </c>
      <c r="B7" t="s">
        <v>8</v>
      </c>
      <c r="C7" t="s">
        <v>41</v>
      </c>
      <c r="D7" s="18" t="s">
        <v>54</v>
      </c>
    </row>
    <row r="8" spans="1:4">
      <c r="A8">
        <v>7</v>
      </c>
      <c r="B8" t="s">
        <v>9</v>
      </c>
      <c r="C8" t="s">
        <v>41</v>
      </c>
      <c r="D8" t="s">
        <v>51</v>
      </c>
    </row>
    <row r="9" spans="1:4">
      <c r="A9">
        <v>8</v>
      </c>
      <c r="B9" t="s">
        <v>30</v>
      </c>
      <c r="C9" t="s">
        <v>30</v>
      </c>
    </row>
    <row r="10" spans="1:4">
      <c r="A10">
        <v>9</v>
      </c>
      <c r="B10" t="s">
        <v>11</v>
      </c>
      <c r="C10" t="s">
        <v>11</v>
      </c>
    </row>
    <row r="11" spans="1:4">
      <c r="A11">
        <v>10</v>
      </c>
      <c r="B11" t="s">
        <v>22</v>
      </c>
      <c r="C11" t="s">
        <v>22</v>
      </c>
    </row>
    <row r="12" spans="1:4">
      <c r="A12">
        <v>11</v>
      </c>
      <c r="B12" t="s">
        <v>12</v>
      </c>
      <c r="C12" t="s">
        <v>12</v>
      </c>
    </row>
    <row r="13" spans="1:4">
      <c r="A13">
        <v>12</v>
      </c>
      <c r="B13" t="s">
        <v>13</v>
      </c>
      <c r="C13" t="s">
        <v>13</v>
      </c>
    </row>
    <row r="14" spans="1:4">
      <c r="A14">
        <v>13</v>
      </c>
      <c r="B14" t="s">
        <v>14</v>
      </c>
      <c r="C14" t="s">
        <v>14</v>
      </c>
    </row>
    <row r="15" spans="1:4">
      <c r="A15">
        <v>14</v>
      </c>
      <c r="B15" t="s">
        <v>15</v>
      </c>
      <c r="C15" t="s">
        <v>15</v>
      </c>
    </row>
    <row r="16" spans="1:4">
      <c r="A16">
        <v>15</v>
      </c>
      <c r="B16" t="s">
        <v>16</v>
      </c>
      <c r="C16" t="s">
        <v>16</v>
      </c>
    </row>
    <row r="17" spans="1:4">
      <c r="A17">
        <v>16</v>
      </c>
      <c r="B17" t="s">
        <v>17</v>
      </c>
      <c r="C17" t="s">
        <v>40</v>
      </c>
    </row>
    <row r="18" spans="1:4">
      <c r="A18">
        <v>17</v>
      </c>
      <c r="B18" t="s">
        <v>18</v>
      </c>
      <c r="C18" t="s">
        <v>18</v>
      </c>
    </row>
    <row r="19" spans="1:4">
      <c r="A19">
        <v>18</v>
      </c>
      <c r="B19" t="s">
        <v>19</v>
      </c>
      <c r="C19" t="s">
        <v>19</v>
      </c>
    </row>
    <row r="20" spans="1:4">
      <c r="A20">
        <v>19</v>
      </c>
      <c r="B20" t="s">
        <v>20</v>
      </c>
      <c r="C20" t="s">
        <v>20</v>
      </c>
    </row>
    <row r="21" spans="1:4">
      <c r="A21">
        <v>20</v>
      </c>
      <c r="B21" t="s">
        <v>21</v>
      </c>
      <c r="C21" t="s">
        <v>21</v>
      </c>
    </row>
    <row r="22" spans="1:4">
      <c r="A22">
        <v>21</v>
      </c>
      <c r="B22" t="s">
        <v>23</v>
      </c>
      <c r="C22" t="s">
        <v>42</v>
      </c>
      <c r="D22" t="s">
        <v>52</v>
      </c>
    </row>
    <row r="23" spans="1:4">
      <c r="A23">
        <v>22</v>
      </c>
      <c r="B23" t="s">
        <v>24</v>
      </c>
      <c r="C23" t="s">
        <v>42</v>
      </c>
      <c r="D23" t="s">
        <v>53</v>
      </c>
    </row>
    <row r="24" spans="1:4">
      <c r="A24">
        <v>23</v>
      </c>
      <c r="B24" t="s">
        <v>10</v>
      </c>
      <c r="C24" t="s">
        <v>10</v>
      </c>
    </row>
    <row r="25" spans="1:4">
      <c r="A25">
        <v>24</v>
      </c>
      <c r="B25" t="s">
        <v>29</v>
      </c>
      <c r="C25" t="s">
        <v>29</v>
      </c>
    </row>
    <row r="26" spans="1:4">
      <c r="A26">
        <v>25</v>
      </c>
      <c r="B26" t="s">
        <v>25</v>
      </c>
      <c r="C26" t="s">
        <v>25</v>
      </c>
    </row>
    <row r="27" spans="1:4">
      <c r="A27">
        <v>26</v>
      </c>
      <c r="B27" t="s">
        <v>5</v>
      </c>
      <c r="C27" t="s">
        <v>40</v>
      </c>
      <c r="D27" s="18" t="s">
        <v>48</v>
      </c>
    </row>
  </sheetData>
  <autoFilter ref="A1:C27" xr:uid="{26ADF7BF-D9AC-46C3-A454-A2446CE562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1 – ACTIVIDADES</vt:lpstr>
      <vt:lpstr>2 – PROFESORES</vt:lpstr>
      <vt:lpstr>3 – ASISTENCIA</vt:lpstr>
      <vt:lpstr>4 – TABLAS</vt:lpstr>
      <vt:lpstr>5 – GRAFICOS</vt:lpstr>
      <vt:lpstr>MAPEO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Observatorio  Movilidad</cp:lastModifiedBy>
  <dcterms:modified xsi:type="dcterms:W3CDTF">2026-05-14T12:13:25Z</dcterms:modified>
</cp:coreProperties>
</file>